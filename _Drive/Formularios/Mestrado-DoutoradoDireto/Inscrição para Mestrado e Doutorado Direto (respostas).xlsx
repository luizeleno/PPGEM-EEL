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<sst xmlns="http://schemas.openxmlformats.org/spreadsheetml/2006/main" count="396" uniqueCount="241">
  <si>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</si>
  <si>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</si>
  <si>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</si>
  <si>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</si>
  <si>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</si>
  <si>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</si>
  <si>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</si>
  <si>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</si>
  <si>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</si>
  <si>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</si>
  <si>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</si>
  <si>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</si>
  <si>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</si>
  <si>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</si>
  <si>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</si>
  <si>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</si>
  <si>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</si>
  <si>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</si>
  <si>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</si>
  <si>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</si>
  <si>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</si>
  <si>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</si>
  <si>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</si>
  <si>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</si>
  <si>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</si>
  <si>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</si>
  <si>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</si>
  <si>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</si>
  <si>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</si>
  <si>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</si>
  <si>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</si>
  <si>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</si>
  <si>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</si>
  <si>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</si>
  <si>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</si>
  <si>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</si>
  <si>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</si>
  <si>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</si>
  <si>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</si>
  <si>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</si>
  <si>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</si>
  <si>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</si>
  <si>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</si>
  <si>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</si>
  <si>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</si>
  <si>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</si>
  <si>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</si>
  <si>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</si>
  <si>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</si>
  <si>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</si>
  <si>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</si>
  <si>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</si>
  <si>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</si>
  <si>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</si>
  <si>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</si>
  <si>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</si>
  <si>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</si>
  <si>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</si>
  <si>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</si>
  <si>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</si>
  <si>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</si>
  <si>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</si>
  <si>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</si>
  <si>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</si>
  <si>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</si>
  <si>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</si>
  <si>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</si>
  <si>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</si>
  <si>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</si>
  <si>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</si>
  <si>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</si>
  <si>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</si>
  <si>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</si>
  <si>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</si>
  <si>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</si>
  <si>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</si>
  <si>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</si>
  <si>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</si>
  <si>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</si>
  <si>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</si>
  <si>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</si>
  <si>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</si>
  <si>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</si>
  <si>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</si>
  <si>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</si>
  <si>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</si>
  <si>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</si>
  <si>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</si>
  <si>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</si>
  <si>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</si>
  <si>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</si>
  <si>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</si>
  <si>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</si>
  <si>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</si>
  <si>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</si>
  <si>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</si>
  <si>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</si>
  <si>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</si>
  <si>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</si>
  <si>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</si>
  <si>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</si>
  <si>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</si>
  <si>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</si>
  <si>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</si>
  <si>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</si>
  <si>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</si>
  <si>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</si>
  <si>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</si>
  <si>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</si>
  <si>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</si>
  <si>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</si>
  <si>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</si>
  <si>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</si>
  <si>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</si>
  <si>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</si>
  <si>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</si>
  <si>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</si>
  <si>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</si>
  <si>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</si>
  <si>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</si>
  <si>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Fábio Cavassani Notz</t>
  </si>
  <si>
    <t>fcnotz@gmail.com</t>
  </si>
  <si>
    <t>Masculino</t>
  </si>
  <si>
    <t>Casado (a)</t>
  </si>
  <si>
    <t>Não</t>
  </si>
  <si>
    <t>Branca</t>
  </si>
  <si>
    <t>Resende</t>
  </si>
  <si>
    <t>Rio de Janeiro/Brasil</t>
  </si>
  <si>
    <t>05711873741</t>
  </si>
  <si>
    <t>Detran</t>
  </si>
  <si>
    <t>Rua Manoel da Silva Torres - 555</t>
  </si>
  <si>
    <t>Alegria</t>
  </si>
  <si>
    <t>Celular</t>
  </si>
  <si>
    <t>Mariana</t>
  </si>
  <si>
    <t>Esposa</t>
  </si>
  <si>
    <t>AEDB - CPGE - Centro de Pesquisa Pos Graduação e Extensão</t>
  </si>
  <si>
    <t>Engenharia da Qualidade/Pos Graduação</t>
  </si>
  <si>
    <t>Sim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</si>
  <si>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</si>
  <si>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</si>
  <si>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</si>
  <si>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</si>
  <si>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Inglês</t>
  </si>
  <si>
    <t>Avançado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</si>
  <si>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</si>
  <si>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</si>
  <si>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</si>
  <si>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</si>
  <si>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</si>
  <si>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</si>
  <si>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</si>
  <si>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</si>
  <si>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</si>
  <si>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</si>
  <si>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</si>
  <si>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</si>
  <si>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</si>
  <si>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</si>
  <si>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</si>
  <si>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</si>
  <si>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</si>
  <si>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</si>
  <si>
    <t>Adolfo Luiz de Souza</t>
  </si>
  <si>
    <t>adolfo_luiz@hotmail.com</t>
  </si>
  <si>
    <t>Solteiro (a)</t>
  </si>
  <si>
    <t>Parda</t>
  </si>
  <si>
    <t>Volta Redonda</t>
  </si>
  <si>
    <t>Rua Luis Romanelli N°80 Apart 201</t>
  </si>
  <si>
    <t>Regina Célia</t>
  </si>
  <si>
    <t>Cruzeiro</t>
  </si>
  <si>
    <t>Lucinéia Rosa de Souza</t>
  </si>
  <si>
    <t>Mãe</t>
  </si>
  <si>
    <t xml:space="preserve">Rua Emilio de Menezes N°28 </t>
  </si>
  <si>
    <t>Eucaliptal</t>
  </si>
  <si>
    <t>Universidade Federal Fluminense</t>
  </si>
  <si>
    <t>Bacharel em Engenharia Metalúrgica</t>
  </si>
  <si>
    <t>Senai - Rj</t>
  </si>
  <si>
    <t>Técnico em Eletromecânica</t>
  </si>
  <si>
    <t>Colégio Plural de Ensino médio</t>
  </si>
  <si>
    <t>Técnico deInformática</t>
  </si>
  <si>
    <t>Espanhol</t>
  </si>
  <si>
    <t>Intermediário</t>
  </si>
  <si>
    <t>Básico</t>
  </si>
  <si>
    <t>Greenbrier Maxion</t>
  </si>
  <si>
    <t>Analista de Laboratório</t>
  </si>
  <si>
    <t>UCD (Universidade daIrlanda)</t>
  </si>
  <si>
    <t>Técnico de Laboratório</t>
  </si>
  <si>
    <t>Iochpe Maxion</t>
  </si>
  <si>
    <t>Estagiário em Engenharia Metalúrgica</t>
  </si>
  <si>
    <t>CSN</t>
  </si>
  <si>
    <t>Lider de produção</t>
  </si>
  <si>
    <t>Vest Pré - Vestibular</t>
  </si>
  <si>
    <t>Professor ( fisica e matemática)</t>
  </si>
  <si>
    <t xml:space="preserve">Monitor - Algebra </t>
  </si>
  <si>
    <t>Autonomo</t>
  </si>
  <si>
    <t>Professor de Inglês</t>
  </si>
  <si>
    <t xml:space="preserve">*Buscar ainda mais conhecimento na área de materiais;
*interatividade com os colegas;
*troca de experiências na prática de atuação;
</t>
  </si>
  <si>
    <t>https://drive.google.com/open?id=1PTziYvry07P5qBBHLWfRMd3nn-gyRUDF</t>
  </si>
  <si>
    <t>https://drive.google.com/open?id=1neJchzbxRh3bfdX3KsBaVavFrfQW70fB</t>
  </si>
  <si>
    <t>Karoline Elerbrock Borowski</t>
  </si>
  <si>
    <t>karoline.borowski@usp.br</t>
  </si>
  <si>
    <t>Feminino</t>
  </si>
  <si>
    <t>Lorena</t>
  </si>
  <si>
    <t>SP - Brasil</t>
  </si>
  <si>
    <t>SSP</t>
  </si>
  <si>
    <t>Avenida Capitão Messias Ribeiro, N°384</t>
  </si>
  <si>
    <t>Olaria</t>
  </si>
  <si>
    <t>Julienne Maria Fiorentini Elerbrock</t>
  </si>
  <si>
    <t>Universidade de São Paulo, Escola de Engenharia de Lorena</t>
  </si>
  <si>
    <t>Engenheira de Materiais</t>
  </si>
  <si>
    <t>Francês</t>
  </si>
  <si>
    <t>Banco do Brasil</t>
  </si>
  <si>
    <t>Espero aprofundar meus conhecimentos adquiridos na graduação e me tornar mais independente para conduzir uma pesquisa, em um curso de excelência.</t>
  </si>
  <si>
    <t>Escola onde estudo</t>
  </si>
  <si>
    <t>https://drive.google.com/open?id=1IhqQqIIXLBro1NPZ99apEAtcRqg8tcXq</t>
  </si>
  <si>
    <t>857-5</t>
  </si>
  <si>
    <t>118968-9</t>
  </si>
  <si>
    <t>https://drive.google.com/open?id=1r_QdjaGdSJ42jx1jFW7KWlPb_7LHfIvP</t>
  </si>
  <si>
    <t>BRUNO NERY STOCO</t>
  </si>
  <si>
    <t>nerystoco@gmail.com</t>
  </si>
  <si>
    <t>VOLTA REDONDA</t>
  </si>
  <si>
    <t>RIO DE JANEIRO/BRASIL</t>
  </si>
  <si>
    <t>DETRAN</t>
  </si>
  <si>
    <t>RUA G 147</t>
  </si>
  <si>
    <t>VALE DO SOL</t>
  </si>
  <si>
    <t>PINHEIRAL</t>
  </si>
  <si>
    <t>CINTIA</t>
  </si>
  <si>
    <t>ESPOSA</t>
  </si>
  <si>
    <t xml:space="preserve">UNIVERSIDADE FEDERAL FLUMINENSE </t>
  </si>
  <si>
    <t>ENGENHEIRO METALURGISTA</t>
  </si>
  <si>
    <t>INGLES</t>
  </si>
  <si>
    <t>TERNIUM BRASIL</t>
  </si>
  <si>
    <t>CONSULTOR</t>
  </si>
  <si>
    <t>RHIMAGNESITA</t>
  </si>
  <si>
    <t>ASSISTENTE TÉCNICO</t>
  </si>
  <si>
    <t>ASSOCIAÇÃO BRASILEIRA DE SOLDAGEM</t>
  </si>
  <si>
    <t xml:space="preserve">PROFESSOR TEMPORÁRIO </t>
  </si>
  <si>
    <t>AUMENTAR MEU CONHECIMENTO TÉCNICO EM REFRATÁRIO PARA APLICAÇÃO NA INDUSTRIA</t>
  </si>
  <si>
    <t>Empresa onde trabalho</t>
  </si>
  <si>
    <t>https://drive.google.com/open?id=1qX1f7jE6JvxCws2JSEwuerWsajepI4Pq</t>
  </si>
  <si>
    <t>https://drive.google.com/open?id=1_UDdAxob4UOwtCZktaHw1dUvzoJ2PPNQ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</si>
</sst>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m37ygvAQWzQC3hLjM7bW6Rgw1DFK8j5t" TargetMode="External"/><Relationship Id="rId2" Type="http://schemas.openxmlformats.org/officeDocument/2006/relationships/hyperlink" Target="https://drive.google.com/open?id=1yWUHn-YIQ_2Bee5YONBKvGLLHaRiWugr" TargetMode="External"/><Relationship Id="rId3" Type="http://schemas.openxmlformats.org/officeDocument/2006/relationships/hyperlink" Target="https://drive.google.com/open?id=19Zr1JtA_wYet4QT8uwMBNggAOhe4iqhN" TargetMode="External"/><Relationship Id="rId4" Type="http://schemas.openxmlformats.org/officeDocument/2006/relationships/hyperlink" Target="https://drive.google.com/open?id=1gYvSEDZHnK391EA_7oG1THNiqctrWftt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rive.google.com/open?id=1_UDdAxob4UOwtCZktaHw1dUvzoJ2PPNQ" TargetMode="External"/><Relationship Id="rId9" Type="http://schemas.openxmlformats.org/officeDocument/2006/relationships/hyperlink" Target="https://drive.google.com/open?id=1qX1f7jE6JvxCws2JSEwuerWsajepI4Pq" TargetMode="External"/><Relationship Id="rId5" Type="http://schemas.openxmlformats.org/officeDocument/2006/relationships/hyperlink" Target="https://drive.google.com/open?id=1PTziYvry07P5qBBHLWfRMd3nn-gyRUDF" TargetMode="External"/><Relationship Id="rId6" Type="http://schemas.openxmlformats.org/officeDocument/2006/relationships/hyperlink" Target="https://drive.google.com/open?id=1neJchzbxRh3bfdX3KsBaVavFrfQW70fB" TargetMode="External"/><Relationship Id="rId7" Type="http://schemas.openxmlformats.org/officeDocument/2006/relationships/hyperlink" Target="https://drive.google.com/open?id=1IhqQqIIXLBro1NPZ99apEAtcRqg8tcXq" TargetMode="External"/><Relationship Id="rId8" Type="http://schemas.openxmlformats.org/officeDocument/2006/relationships/hyperlink" Target="https://drive.google.com/open?id=1r_QdjaGdSJ42jx1jFW7KWlPb_7LHfI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44321.36374539352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31117.0</v>
      </c>
      <c r="K2" s="3" t="s">
        <v>126</v>
      </c>
      <c r="L2" s="3" t="s">
        <v>127</v>
      </c>
      <c r="M2" s="6" t="s">
        <v>128</v>
      </c>
      <c r="N2" s="3">
        <v>1.30556871E8</v>
      </c>
      <c r="O2" s="5">
        <v>37602.0</v>
      </c>
      <c r="P2" s="3" t="s">
        <v>129</v>
      </c>
      <c r="Q2" s="3">
        <v>1.1389273E7</v>
      </c>
      <c r="R2" s="3" t="s">
        <v>130</v>
      </c>
      <c r="S2" s="3" t="s">
        <v>131</v>
      </c>
      <c r="T2" s="3" t="s">
        <v>126</v>
      </c>
      <c r="U2" s="3">
        <v>2.7524108E7</v>
      </c>
      <c r="V2" s="3" t="s">
        <v>132</v>
      </c>
      <c r="W2" s="3">
        <v>2.4999241932E10</v>
      </c>
      <c r="X2" s="3" t="s">
        <v>133</v>
      </c>
      <c r="Y2" s="3" t="s">
        <v>134</v>
      </c>
      <c r="Z2" s="3" t="s">
        <v>130</v>
      </c>
      <c r="AA2" s="3" t="s">
        <v>131</v>
      </c>
      <c r="AB2" s="3" t="s">
        <v>126</v>
      </c>
      <c r="AC2" s="3" t="s">
        <v>127</v>
      </c>
      <c r="AD2" s="3">
        <v>2.7524108E7</v>
      </c>
      <c r="AE2" s="3">
        <v>2.4999782216E10</v>
      </c>
      <c r="AF2" s="3" t="s">
        <v>135</v>
      </c>
      <c r="AG2" s="3" t="s">
        <v>136</v>
      </c>
      <c r="AH2" s="5">
        <v>43285.0</v>
      </c>
      <c r="AI2" s="5">
        <v>43871.0</v>
      </c>
      <c r="AJ2" s="3" t="s">
        <v>137</v>
      </c>
      <c r="AK2" s="3" t="s">
        <v>138</v>
      </c>
      <c r="AL2" s="3" t="s">
        <v>139</v>
      </c>
      <c r="AM2" s="5">
        <v>38750.0</v>
      </c>
      <c r="AN2" s="5">
        <v>40522.0</v>
      </c>
      <c r="AO2" s="3" t="s">
        <v>137</v>
      </c>
      <c r="AP2" s="3" t="s">
        <v>140</v>
      </c>
      <c r="AQ2" s="3" t="s">
        <v>141</v>
      </c>
      <c r="AR2" s="5">
        <v>36558.0</v>
      </c>
      <c r="AS2" s="5">
        <v>37965.0</v>
      </c>
      <c r="AT2" s="3" t="s">
        <v>124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124</v>
      </c>
      <c r="BR2" s="3" t="s">
        <v>137</v>
      </c>
      <c r="BS2" s="3" t="s">
        <v>144</v>
      </c>
      <c r="BT2" s="3" t="s">
        <v>145</v>
      </c>
      <c r="BU2" s="3" t="s">
        <v>146</v>
      </c>
      <c r="BV2" s="5">
        <v>43325.0</v>
      </c>
      <c r="BX2" s="3" t="s">
        <v>137</v>
      </c>
      <c r="BY2" s="3" t="s">
        <v>147</v>
      </c>
      <c r="BZ2" s="3" t="s">
        <v>145</v>
      </c>
      <c r="CA2" s="3" t="s">
        <v>146</v>
      </c>
      <c r="CB2" s="5">
        <v>40834.0</v>
      </c>
      <c r="CC2" s="5">
        <v>43322.0</v>
      </c>
      <c r="CD2" s="3" t="s">
        <v>137</v>
      </c>
      <c r="CE2" s="3" t="s">
        <v>148</v>
      </c>
      <c r="CF2" s="3" t="s">
        <v>149</v>
      </c>
      <c r="CG2" s="3" t="s">
        <v>146</v>
      </c>
      <c r="CH2" s="5">
        <v>39483.0</v>
      </c>
      <c r="CI2" s="5">
        <v>40831.0</v>
      </c>
      <c r="CJ2" s="3" t="s">
        <v>124</v>
      </c>
      <c r="CP2" s="3" t="s">
        <v>124</v>
      </c>
      <c r="DJ2" s="3" t="s">
        <v>124</v>
      </c>
      <c r="DK2" s="3" t="s">
        <v>124</v>
      </c>
      <c r="DM2" s="3" t="s">
        <v>150</v>
      </c>
      <c r="DN2" s="3" t="s">
        <v>151</v>
      </c>
      <c r="DO2" s="7" t="s">
        <v>152</v>
      </c>
      <c r="DR2" s="7" t="s">
        <v>153</v>
      </c>
      <c r="DS2" s="8" t="str">
        <f>HYPERLINK("https://drive.google.com/open?id=1yWUHn-YIQ_2Bee5YONBKvGLLHaRiWugr","Fábio Cavassani Notz-MESTRADO.pdf")</f>
        <v>Fábio Cavassani Notz-MESTRADO.pdf</v>
      </c>
      <c r="DT2" s="8" t="str">
        <f>HYPERLINK("https://mail.google.com/mail/u/?authuser=luizeleno@usp.br#all/1793c57d5b5d33e9","Email sent to fcnotz@gmail.com, ppgem-eel@usp.br")</f>
        <v>Email sent to fcnotz@gmail.com, ppgem-eel@usp.br</v>
      </c>
    </row>
    <row r="3">
      <c r="A3" s="4">
        <v>44321.37839172454</v>
      </c>
      <c r="B3" s="3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31117.0</v>
      </c>
      <c r="K3" s="3" t="s">
        <v>126</v>
      </c>
      <c r="L3" s="3" t="s">
        <v>154</v>
      </c>
      <c r="M3" s="6" t="s">
        <v>128</v>
      </c>
      <c r="N3" s="3">
        <v>1.30556871E8</v>
      </c>
      <c r="O3" s="5">
        <v>37617.0</v>
      </c>
      <c r="P3" s="3" t="s">
        <v>129</v>
      </c>
      <c r="Q3" s="3">
        <v>1.1389273E7</v>
      </c>
      <c r="R3" s="3" t="s">
        <v>130</v>
      </c>
      <c r="S3" s="3" t="s">
        <v>131</v>
      </c>
      <c r="T3" s="3" t="s">
        <v>126</v>
      </c>
      <c r="U3" s="3">
        <v>2.7524108E7</v>
      </c>
      <c r="V3" s="3" t="s">
        <v>132</v>
      </c>
      <c r="W3" s="3">
        <v>2.4999241932E10</v>
      </c>
      <c r="X3" s="3" t="s">
        <v>155</v>
      </c>
      <c r="Y3" s="3" t="s">
        <v>134</v>
      </c>
      <c r="Z3" s="3" t="s">
        <v>130</v>
      </c>
      <c r="AA3" s="3" t="s">
        <v>131</v>
      </c>
      <c r="AB3" s="3" t="s">
        <v>126</v>
      </c>
      <c r="AC3" s="3" t="s">
        <v>154</v>
      </c>
      <c r="AD3" s="3">
        <v>2.7524108E7</v>
      </c>
      <c r="AE3" s="3">
        <v>2.4999782216E10</v>
      </c>
      <c r="AF3" s="3" t="s">
        <v>135</v>
      </c>
      <c r="AG3" s="3" t="s">
        <v>156</v>
      </c>
      <c r="AH3" s="5">
        <v>43285.0</v>
      </c>
      <c r="AI3" s="5">
        <v>43871.0</v>
      </c>
      <c r="AJ3" s="3" t="s">
        <v>137</v>
      </c>
      <c r="AK3" s="3" t="s">
        <v>138</v>
      </c>
      <c r="AL3" s="3" t="s">
        <v>157</v>
      </c>
      <c r="AM3" s="5">
        <v>38750.0</v>
      </c>
      <c r="AN3" s="5">
        <v>40522.0</v>
      </c>
      <c r="AO3" s="3" t="s">
        <v>137</v>
      </c>
      <c r="AP3" s="3" t="s">
        <v>140</v>
      </c>
      <c r="AQ3" s="3" t="s">
        <v>158</v>
      </c>
      <c r="AR3" s="5">
        <v>36558.0</v>
      </c>
      <c r="AS3" s="5">
        <v>37965.0</v>
      </c>
      <c r="AT3" s="3" t="s">
        <v>124</v>
      </c>
      <c r="AY3" s="3" t="s">
        <v>142</v>
      </c>
      <c r="AZ3" s="3" t="s">
        <v>143</v>
      </c>
      <c r="BA3" s="3" t="s">
        <v>143</v>
      </c>
      <c r="BB3" s="3" t="s">
        <v>143</v>
      </c>
      <c r="BC3" s="3" t="s">
        <v>124</v>
      </c>
      <c r="BR3" s="3" t="s">
        <v>137</v>
      </c>
      <c r="BS3" s="3" t="s">
        <v>144</v>
      </c>
      <c r="BT3" s="3" t="s">
        <v>145</v>
      </c>
      <c r="BU3" s="3" t="s">
        <v>146</v>
      </c>
      <c r="BV3" s="5">
        <v>43325.0</v>
      </c>
      <c r="BX3" s="3" t="s">
        <v>137</v>
      </c>
      <c r="BY3" s="3" t="s">
        <v>147</v>
      </c>
      <c r="BZ3" s="3" t="s">
        <v>145</v>
      </c>
      <c r="CA3" s="3" t="s">
        <v>146</v>
      </c>
      <c r="CB3" s="5">
        <v>40834.0</v>
      </c>
      <c r="CC3" s="5">
        <v>43322.0</v>
      </c>
      <c r="CD3" s="3" t="s">
        <v>137</v>
      </c>
      <c r="CE3" s="3" t="s">
        <v>148</v>
      </c>
      <c r="CF3" s="3" t="s">
        <v>149</v>
      </c>
      <c r="CG3" s="3" t="s">
        <v>146</v>
      </c>
      <c r="CH3" s="5">
        <v>39483.0</v>
      </c>
      <c r="CI3" s="5">
        <v>40831.0</v>
      </c>
      <c r="CJ3" s="3" t="s">
        <v>124</v>
      </c>
      <c r="CP3" s="3" t="s">
        <v>124</v>
      </c>
      <c r="DJ3" s="3" t="s">
        <v>124</v>
      </c>
      <c r="DK3" s="3" t="s">
        <v>124</v>
      </c>
      <c r="DM3" s="3" t="s">
        <v>159</v>
      </c>
      <c r="DN3" s="3" t="s">
        <v>151</v>
      </c>
      <c r="DO3" s="7" t="s">
        <v>160</v>
      </c>
      <c r="DR3" s="7" t="s">
        <v>161</v>
      </c>
      <c r="DS3" s="8" t="str">
        <f>HYPERLINK("https://drive.google.com/open?id=1gYvSEDZHnK391EA_7oG1THNiqctrWftt","Fábio Cavassani Notz-MESTRADO.pdf")</f>
        <v>Fábio Cavassani Notz-MESTRADO.pdf</v>
      </c>
      <c r="DT3" s="8" t="str">
        <f>HYPERLINK("https://mail.google.com/mail/u/?authuser=luizeleno@usp.br#all/1793c6b1d517576a","Email sent to fcnotz@gmail.com, ppgem-eel@usp.br")</f>
        <v>Email sent to fcnotz@gmail.com, ppgem-eel@usp.br</v>
      </c>
    </row>
    <row r="4">
      <c r="A4" s="4">
        <v>44336.72752872686</v>
      </c>
      <c r="B4" s="3" t="s">
        <v>119</v>
      </c>
      <c r="C4" s="3" t="s">
        <v>162</v>
      </c>
      <c r="D4" s="3" t="s">
        <v>163</v>
      </c>
      <c r="E4" s="3" t="s">
        <v>122</v>
      </c>
      <c r="F4" s="3" t="s">
        <v>164</v>
      </c>
      <c r="G4" s="3" t="s">
        <v>124</v>
      </c>
      <c r="H4" s="3" t="s">
        <v>165</v>
      </c>
      <c r="I4" s="3">
        <v>0.0</v>
      </c>
      <c r="J4" s="5">
        <v>31551.0</v>
      </c>
      <c r="K4" s="3" t="s">
        <v>166</v>
      </c>
      <c r="L4" s="3" t="s">
        <v>154</v>
      </c>
      <c r="M4" s="3">
        <v>1.2139481771E10</v>
      </c>
      <c r="N4" s="3">
        <v>2.09298199E8</v>
      </c>
      <c r="O4" s="5">
        <v>39511.0</v>
      </c>
      <c r="P4" s="3" t="s">
        <v>129</v>
      </c>
      <c r="R4" s="3" t="s">
        <v>167</v>
      </c>
      <c r="S4" s="3" t="s">
        <v>168</v>
      </c>
      <c r="T4" s="3" t="s">
        <v>169</v>
      </c>
      <c r="U4" s="3">
        <v>1.270541E7</v>
      </c>
      <c r="V4" s="3" t="s">
        <v>132</v>
      </c>
      <c r="W4" s="3">
        <v>2.4998136459E10</v>
      </c>
      <c r="X4" s="3" t="s">
        <v>170</v>
      </c>
      <c r="Y4" s="3" t="s">
        <v>171</v>
      </c>
      <c r="Z4" s="3" t="s">
        <v>172</v>
      </c>
      <c r="AA4" s="3" t="s">
        <v>173</v>
      </c>
      <c r="AB4" s="3" t="s">
        <v>166</v>
      </c>
      <c r="AC4" s="3" t="s">
        <v>154</v>
      </c>
      <c r="AD4" s="3">
        <v>2.726402E7</v>
      </c>
      <c r="AE4" s="3">
        <v>2.4981684477E10</v>
      </c>
      <c r="AF4" s="3" t="s">
        <v>174</v>
      </c>
      <c r="AG4" s="3" t="s">
        <v>175</v>
      </c>
      <c r="AH4" s="5">
        <v>40605.0</v>
      </c>
      <c r="AI4" s="5">
        <v>42802.0</v>
      </c>
      <c r="AJ4" s="3" t="s">
        <v>137</v>
      </c>
      <c r="AK4" s="3" t="s">
        <v>176</v>
      </c>
      <c r="AL4" s="3" t="s">
        <v>177</v>
      </c>
      <c r="AM4" s="5">
        <v>39115.0</v>
      </c>
      <c r="AN4" s="5">
        <v>39784.0</v>
      </c>
      <c r="AO4" s="3" t="s">
        <v>137</v>
      </c>
      <c r="AP4" s="3" t="s">
        <v>178</v>
      </c>
      <c r="AQ4" s="3" t="s">
        <v>179</v>
      </c>
      <c r="AR4" s="5">
        <v>38022.0</v>
      </c>
      <c r="AS4" s="5">
        <v>39061.0</v>
      </c>
      <c r="AT4" s="3" t="s">
        <v>124</v>
      </c>
      <c r="AY4" s="3" t="s">
        <v>142</v>
      </c>
      <c r="AZ4" s="3" t="s">
        <v>143</v>
      </c>
      <c r="BA4" s="3" t="s">
        <v>143</v>
      </c>
      <c r="BB4" s="3" t="s">
        <v>143</v>
      </c>
      <c r="BC4" s="3" t="s">
        <v>137</v>
      </c>
      <c r="BD4" s="3" t="s">
        <v>180</v>
      </c>
      <c r="BE4" s="3" t="s">
        <v>181</v>
      </c>
      <c r="BF4" s="3" t="s">
        <v>182</v>
      </c>
      <c r="BG4" s="3" t="s">
        <v>181</v>
      </c>
      <c r="BH4" s="3" t="s">
        <v>124</v>
      </c>
      <c r="BR4" s="3" t="s">
        <v>137</v>
      </c>
      <c r="BS4" s="3" t="s">
        <v>183</v>
      </c>
      <c r="BT4" s="3" t="s">
        <v>184</v>
      </c>
      <c r="BU4" s="3" t="s">
        <v>146</v>
      </c>
      <c r="BV4" s="5">
        <v>44221.0</v>
      </c>
      <c r="BX4" s="3" t="s">
        <v>137</v>
      </c>
      <c r="BY4" s="3" t="s">
        <v>185</v>
      </c>
      <c r="BZ4" s="3" t="s">
        <v>186</v>
      </c>
      <c r="CA4" s="3" t="s">
        <v>146</v>
      </c>
      <c r="CB4" s="5">
        <v>43525.0</v>
      </c>
      <c r="CC4" s="5">
        <v>43768.0</v>
      </c>
      <c r="CD4" s="3" t="s">
        <v>137</v>
      </c>
      <c r="CE4" s="3" t="s">
        <v>187</v>
      </c>
      <c r="CF4" s="3" t="s">
        <v>188</v>
      </c>
      <c r="CG4" s="3" t="s">
        <v>146</v>
      </c>
      <c r="CH4" s="5">
        <v>42217.0</v>
      </c>
      <c r="CI4" s="5">
        <v>42765.0</v>
      </c>
      <c r="CJ4" s="3" t="s">
        <v>137</v>
      </c>
      <c r="CK4" s="3" t="s">
        <v>189</v>
      </c>
      <c r="CL4" s="3" t="s">
        <v>190</v>
      </c>
      <c r="CM4" s="3" t="s">
        <v>146</v>
      </c>
      <c r="CN4" s="5">
        <v>43221.0</v>
      </c>
      <c r="CO4" s="5">
        <v>43311.0</v>
      </c>
      <c r="CP4" s="3" t="s">
        <v>137</v>
      </c>
      <c r="CQ4" s="3" t="s">
        <v>191</v>
      </c>
      <c r="CR4" s="3" t="s">
        <v>192</v>
      </c>
      <c r="CS4" s="5">
        <v>41308.0</v>
      </c>
      <c r="CT4" s="5">
        <v>41718.0</v>
      </c>
      <c r="CU4" s="3" t="s">
        <v>137</v>
      </c>
      <c r="CV4" s="3" t="s">
        <v>174</v>
      </c>
      <c r="CW4" s="3" t="s">
        <v>193</v>
      </c>
      <c r="CX4" s="5">
        <v>40577.0</v>
      </c>
      <c r="CY4" s="5">
        <v>40942.0</v>
      </c>
      <c r="CZ4" s="3" t="s">
        <v>137</v>
      </c>
      <c r="DA4" s="3" t="s">
        <v>194</v>
      </c>
      <c r="DB4" s="3" t="s">
        <v>195</v>
      </c>
      <c r="DC4" s="5">
        <v>43831.0</v>
      </c>
      <c r="DE4" s="3" t="s">
        <v>124</v>
      </c>
      <c r="DJ4" s="3" t="s">
        <v>124</v>
      </c>
      <c r="DK4" s="3" t="s">
        <v>124</v>
      </c>
      <c r="DM4" s="3" t="s">
        <v>196</v>
      </c>
      <c r="DN4" s="3" t="s">
        <v>151</v>
      </c>
      <c r="DO4" s="7" t="s">
        <v>197</v>
      </c>
      <c r="DR4" s="7" t="s">
        <v>198</v>
      </c>
      <c r="DS4" s="8" t="str">
        <f>HYPERLINK("https://drive.google.com/open?id=1neJchzbxRh3bfdX3KsBaVavFrfQW70fB","Adolfo Luiz de Souza-MESTRADO.pdf")</f>
        <v>Adolfo Luiz de Souza-MESTRADO.pdf</v>
      </c>
      <c r="DT4" s="8" t="str">
        <f>HYPERLINK("https://mail.google.com/mail/u/?authuser=luizeleno@usp.br#all/1798b76df5665db5","Email sent to adolfo_luiz@hotmail.com, ppgem-eel@usp.br")</f>
        <v>Email sent to adolfo_luiz@hotmail.com, ppgem-eel@usp.br</v>
      </c>
    </row>
    <row r="5">
      <c r="A5" s="4">
        <v>44347.61737568287</v>
      </c>
      <c r="B5" s="3" t="s">
        <v>119</v>
      </c>
      <c r="C5" s="3" t="s">
        <v>199</v>
      </c>
      <c r="D5" s="3" t="s">
        <v>200</v>
      </c>
      <c r="E5" s="3" t="s">
        <v>201</v>
      </c>
      <c r="F5" s="3" t="s">
        <v>164</v>
      </c>
      <c r="G5" s="3" t="s">
        <v>124</v>
      </c>
      <c r="H5" s="3" t="s">
        <v>125</v>
      </c>
      <c r="I5" s="3">
        <v>0.0</v>
      </c>
      <c r="J5" s="5">
        <v>35605.0</v>
      </c>
      <c r="K5" s="3" t="s">
        <v>202</v>
      </c>
      <c r="L5" s="3" t="s">
        <v>203</v>
      </c>
      <c r="M5" s="3">
        <v>3.7759045816E10</v>
      </c>
      <c r="N5" s="3">
        <v>4.70557783E8</v>
      </c>
      <c r="O5" s="5">
        <v>42432.0</v>
      </c>
      <c r="P5" s="3" t="s">
        <v>204</v>
      </c>
      <c r="Q5" s="3">
        <v>9269646.0</v>
      </c>
      <c r="R5" s="3" t="s">
        <v>205</v>
      </c>
      <c r="S5" s="3" t="s">
        <v>206</v>
      </c>
      <c r="T5" s="3" t="s">
        <v>202</v>
      </c>
      <c r="U5" s="3">
        <v>1.260702E7</v>
      </c>
      <c r="V5" s="3" t="s">
        <v>132</v>
      </c>
      <c r="W5" s="3">
        <v>1.299737357E10</v>
      </c>
      <c r="X5" s="3" t="s">
        <v>207</v>
      </c>
      <c r="Y5" s="3" t="s">
        <v>171</v>
      </c>
      <c r="Z5" s="3" t="s">
        <v>205</v>
      </c>
      <c r="AA5" s="3" t="s">
        <v>206</v>
      </c>
      <c r="AB5" s="3" t="s">
        <v>202</v>
      </c>
      <c r="AC5" s="3" t="s">
        <v>203</v>
      </c>
      <c r="AD5" s="3">
        <v>1.260702E7</v>
      </c>
      <c r="AE5" s="3">
        <v>1.2997897578E10</v>
      </c>
      <c r="AF5" s="3" t="s">
        <v>208</v>
      </c>
      <c r="AG5" s="3" t="s">
        <v>209</v>
      </c>
      <c r="AH5" s="5">
        <v>42039.0</v>
      </c>
      <c r="AI5" s="5">
        <v>44406.0</v>
      </c>
      <c r="AJ5" s="3" t="s">
        <v>124</v>
      </c>
      <c r="AY5" s="3" t="s">
        <v>142</v>
      </c>
      <c r="AZ5" s="3" t="s">
        <v>143</v>
      </c>
      <c r="BA5" s="3" t="s">
        <v>143</v>
      </c>
      <c r="BB5" s="3" t="s">
        <v>143</v>
      </c>
      <c r="BC5" s="3" t="s">
        <v>137</v>
      </c>
      <c r="BD5" s="3" t="s">
        <v>210</v>
      </c>
      <c r="BE5" s="3" t="s">
        <v>181</v>
      </c>
      <c r="BF5" s="3" t="s">
        <v>181</v>
      </c>
      <c r="BG5" s="3" t="s">
        <v>181</v>
      </c>
      <c r="BH5" s="3" t="s">
        <v>124</v>
      </c>
      <c r="BR5" s="3" t="s">
        <v>124</v>
      </c>
      <c r="CP5" s="3" t="s">
        <v>124</v>
      </c>
      <c r="DJ5" s="3" t="s">
        <v>124</v>
      </c>
      <c r="DK5" s="3" t="s">
        <v>137</v>
      </c>
      <c r="DL5" s="3" t="s">
        <v>211</v>
      </c>
      <c r="DM5" s="3" t="s">
        <v>212</v>
      </c>
      <c r="DN5" s="3" t="s">
        <v>213</v>
      </c>
      <c r="DO5" s="7" t="s">
        <v>214</v>
      </c>
      <c r="DP5" s="3" t="s">
        <v>215</v>
      </c>
      <c r="DQ5" s="3" t="s">
        <v>216</v>
      </c>
      <c r="DR5" s="7" t="s">
        <v>217</v>
      </c>
      <c r="DS5" s="8" t="str">
        <f>HYPERLINK("https://drive.google.com/open?id=1r_QdjaGdSJ42jx1jFW7KWlPb_7LHfIvP","Karoline Elerbrock Borowski-MESTRADO.pdf")</f>
        <v>Karoline Elerbrock Borowski-MESTRADO.pdf</v>
      </c>
      <c r="DT5" s="8" t="str">
        <f>HYPERLINK("https://mail.google.com/mail/u/?authuser=luizeleno@usp.br#all/179c38b8c8c5f888","Email sent to karoline.borowski@usp.br, ppgem-eel@usp.br")</f>
        <v>Email sent to karoline.borowski@usp.br, ppgem-eel@usp.br</v>
      </c>
    </row>
    <row r="6">
      <c r="A6" s="4">
        <v>44350.82845410879</v>
      </c>
      <c r="B6" s="3" t="s">
        <v>119</v>
      </c>
      <c r="C6" s="3" t="s">
        <v>218</v>
      </c>
      <c r="D6" s="3" t="s">
        <v>219</v>
      </c>
      <c r="E6" s="3" t="s">
        <v>122</v>
      </c>
      <c r="F6" s="3" t="s">
        <v>123</v>
      </c>
      <c r="G6" s="3" t="s">
        <v>124</v>
      </c>
      <c r="H6" s="3" t="s">
        <v>165</v>
      </c>
      <c r="I6" s="3">
        <v>3.0</v>
      </c>
      <c r="J6" s="5">
        <v>31427.0</v>
      </c>
      <c r="K6" s="3" t="s">
        <v>220</v>
      </c>
      <c r="L6" s="3" t="s">
        <v>221</v>
      </c>
      <c r="M6" s="3">
        <v>1.1070069701E10</v>
      </c>
      <c r="N6" s="3">
        <v>1.16832569E8</v>
      </c>
      <c r="O6" s="5">
        <v>41769.0</v>
      </c>
      <c r="P6" s="3" t="s">
        <v>222</v>
      </c>
      <c r="R6" s="3" t="s">
        <v>223</v>
      </c>
      <c r="S6" s="3" t="s">
        <v>224</v>
      </c>
      <c r="T6" s="3" t="s">
        <v>225</v>
      </c>
      <c r="U6" s="3">
        <v>2.7197E7</v>
      </c>
      <c r="V6" s="3" t="s">
        <v>132</v>
      </c>
      <c r="W6" s="3">
        <v>2.1967520232E10</v>
      </c>
      <c r="X6" s="3" t="s">
        <v>226</v>
      </c>
      <c r="Y6" s="3" t="s">
        <v>227</v>
      </c>
      <c r="Z6" s="3" t="s">
        <v>223</v>
      </c>
      <c r="AA6" s="3" t="s">
        <v>224</v>
      </c>
      <c r="AB6" s="3" t="s">
        <v>225</v>
      </c>
      <c r="AC6" s="3" t="s">
        <v>221</v>
      </c>
      <c r="AD6" s="3">
        <v>2.7197E7</v>
      </c>
      <c r="AE6" s="3">
        <v>2.498859485E10</v>
      </c>
      <c r="AF6" s="3" t="s">
        <v>228</v>
      </c>
      <c r="AG6" s="3" t="s">
        <v>229</v>
      </c>
      <c r="AH6" s="5">
        <v>38534.0</v>
      </c>
      <c r="AI6" s="5">
        <v>40162.0</v>
      </c>
      <c r="AJ6" s="3" t="s">
        <v>124</v>
      </c>
      <c r="AY6" s="3" t="s">
        <v>230</v>
      </c>
      <c r="AZ6" s="3" t="s">
        <v>181</v>
      </c>
      <c r="BA6" s="3" t="s">
        <v>181</v>
      </c>
      <c r="BB6" s="3" t="s">
        <v>181</v>
      </c>
      <c r="BC6" s="3" t="s">
        <v>124</v>
      </c>
      <c r="BR6" s="3" t="s">
        <v>137</v>
      </c>
      <c r="BS6" s="3" t="s">
        <v>231</v>
      </c>
      <c r="BT6" s="3" t="s">
        <v>232</v>
      </c>
      <c r="BU6" s="3" t="s">
        <v>146</v>
      </c>
      <c r="BV6" s="5">
        <v>42659.0</v>
      </c>
      <c r="BX6" s="3" t="s">
        <v>137</v>
      </c>
      <c r="BY6" s="3" t="s">
        <v>233</v>
      </c>
      <c r="BZ6" s="3" t="s">
        <v>234</v>
      </c>
      <c r="CA6" s="3" t="s">
        <v>146</v>
      </c>
      <c r="CB6" s="5">
        <v>40103.0</v>
      </c>
      <c r="CC6" s="5">
        <v>42655.0</v>
      </c>
      <c r="CD6" s="3" t="s">
        <v>124</v>
      </c>
      <c r="CP6" s="3" t="s">
        <v>137</v>
      </c>
      <c r="CQ6" s="3" t="s">
        <v>235</v>
      </c>
      <c r="CR6" s="3" t="s">
        <v>236</v>
      </c>
      <c r="CS6" s="5">
        <v>39934.0</v>
      </c>
      <c r="CT6" s="5">
        <v>40167.0</v>
      </c>
      <c r="CU6" s="3" t="s">
        <v>124</v>
      </c>
      <c r="DJ6" s="3" t="s">
        <v>124</v>
      </c>
      <c r="DK6" s="3" t="s">
        <v>124</v>
      </c>
      <c r="DM6" s="3" t="s">
        <v>237</v>
      </c>
      <c r="DN6" s="3" t="s">
        <v>238</v>
      </c>
      <c r="DO6" s="7" t="s">
        <v>239</v>
      </c>
      <c r="DR6" s="7" t="s">
        <v>240</v>
      </c>
      <c r="DS6" s="8" t="str">
        <f>HYPERLINK("https://drive.google.com/open?id=1_UDdAxob4UOwtCZktaHw1dUvzoJ2PPNQ","BRUNO NERY STOCO-MESTRADO.pdf")</f>
        <v>BRUNO NERY STOCO-MESTRADO.pdf</v>
      </c>
      <c r="DT6" s="8" t="str">
        <f>HYPERLINK("https://mail.google.com/mail/u/?authuser=luizeleno@usp.br#all/179d414d7854f0b9","Email sent to nerystoco@gmail.com, ppgem-eel@usp.br")</f>
        <v>Email sent to nerystoco@gmail.com, ppgem-eel@usp.br</v>
      </c>
    </row>
  </sheetData>
  <hyperlinks>
    <hyperlink r:id="rId1" ref="DO2"/>
    <hyperlink r:id="rId2" ref="DR2"/>
    <hyperlink r:id="rId3" ref="DO3"/>
    <hyperlink r:id="rId4" ref="DR3"/>
    <hyperlink r:id="rId5" ref="DO4"/>
    <hyperlink r:id="rId6" ref="DR4"/>
    <hyperlink r:id="rId7" ref="DO5"/>
    <hyperlink r:id="rId8" ref="DR5"/>
    <hyperlink r:id="rId9" ref="DO6"/>
    <hyperlink r:id="rId10" ref="DR6"/>
  </hyperlinks>
  <drawing r:id="rId11"/>
</worksheet>
</file>