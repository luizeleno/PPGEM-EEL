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ostas ao formulário 1" sheetId="1" r:id="rId4"/>
  </sheets>
  <definedNames/>
  <calcPr/>
</workbook>
</file>

<file path=xl/sharedStrings.xml><?xml version="1.0" encoding="utf-8"?>
<sst xmlns="http://schemas.openxmlformats.org/spreadsheetml/2006/main" count="261" uniqueCount="195">
  <si>
    <t>Carimbo de data/hora</t>
  </si>
  <si>
    <t>Modalidade escolhida</t>
  </si>
  <si>
    <t>Nome completo</t>
  </si>
  <si>
    <t>Endereço de e-mail</t>
  </si>
  <si>
    <t>Gênero</t>
  </si>
  <si>
    <t>Estado Civil</t>
  </si>
  <si>
    <t>É portador de necessidades especiais?</t>
  </si>
  <si>
    <t>Raça/cor</t>
  </si>
  <si>
    <t>Número de dependentes</t>
  </si>
  <si>
    <t>Data de nascimento</t>
  </si>
  <si>
    <t>Cidade de nascimento</t>
  </si>
  <si>
    <t>Estado/País de nascimento</t>
  </si>
  <si>
    <t>CPF</t>
  </si>
  <si>
    <t>Identidade (RG)</t>
  </si>
  <si>
    <t>Data de emissão</t>
  </si>
  <si>
    <t>Órgão emissor</t>
  </si>
  <si>
    <t>Número USP</t>
  </si>
  <si>
    <t>Logradouro</t>
  </si>
  <si>
    <t>Bairro</t>
  </si>
  <si>
    <t>Cidade</t>
  </si>
  <si>
    <t>Código Postal (CEP)</t>
  </si>
  <si>
    <t>Tipo de telefone</t>
  </si>
  <si>
    <t>Telefone</t>
  </si>
  <si>
    <t>Nome do contato de emergência</t>
  </si>
  <si>
    <t>Grau de parentesco</t>
  </si>
  <si>
    <t>Endereço do contato</t>
  </si>
  <si>
    <t>Bairro do contato</t>
  </si>
  <si>
    <t>Cidade do contato</t>
  </si>
  <si>
    <t>Estado/País do contato</t>
  </si>
  <si>
    <t>Código Postal (CEP) do contato</t>
  </si>
  <si>
    <t>Telefone do contato</t>
  </si>
  <si>
    <t>Instituição 1</t>
  </si>
  <si>
    <t>Título/Especialidade 1</t>
  </si>
  <si>
    <t>Início 1</t>
  </si>
  <si>
    <t>Fim 1</t>
  </si>
  <si>
    <t>Adicionar segundo item?</t>
  </si>
  <si>
    <t>Instituição 2</t>
  </si>
  <si>
    <t>Título/Especialidade 2</t>
  </si>
  <si>
    <t>Início 2</t>
  </si>
  <si>
    <t>Fim 3</t>
  </si>
  <si>
    <t>Adicionar terceiro item?</t>
  </si>
  <si>
    <t>Instituição 3</t>
  </si>
  <si>
    <t>Título/Especialidade 3</t>
  </si>
  <si>
    <t>Início 3</t>
  </si>
  <si>
    <t>Adicionar quarto (e último) item?</t>
  </si>
  <si>
    <t>Instituição 4</t>
  </si>
  <si>
    <t>Título/Especialidade 4</t>
  </si>
  <si>
    <t>Início 4</t>
  </si>
  <si>
    <t>Fim 4</t>
  </si>
  <si>
    <t>Idioma 1</t>
  </si>
  <si>
    <t>Leitura 1</t>
  </si>
  <si>
    <t>Redação 1</t>
  </si>
  <si>
    <t>Conversação 1</t>
  </si>
  <si>
    <t>Adicionar outro idioma?</t>
  </si>
  <si>
    <t>Idioma 2</t>
  </si>
  <si>
    <t>Leitura 2</t>
  </si>
  <si>
    <t>Redação 2</t>
  </si>
  <si>
    <t>Conversação 2</t>
  </si>
  <si>
    <t>Idioma 3</t>
  </si>
  <si>
    <t>Leitura 3</t>
  </si>
  <si>
    <t>Redação 3</t>
  </si>
  <si>
    <t>Conversação 3</t>
  </si>
  <si>
    <t>Idioma 4</t>
  </si>
  <si>
    <t>Leitura 4</t>
  </si>
  <si>
    <t>Redação 4</t>
  </si>
  <si>
    <t>Conversação 4</t>
  </si>
  <si>
    <t>Tem alguma experiência profissional?</t>
  </si>
  <si>
    <t>Entidade 1</t>
  </si>
  <si>
    <t>Posição ocupada 1</t>
  </si>
  <si>
    <t>Tipo de entidade 1</t>
  </si>
  <si>
    <t>Início no cargo 1</t>
  </si>
  <si>
    <t>Fim no cargo 1</t>
  </si>
  <si>
    <t>Adicionar uma segunda experiência profissional?</t>
  </si>
  <si>
    <t>Entidade 2</t>
  </si>
  <si>
    <t>Posição ocupada 2</t>
  </si>
  <si>
    <t>Tipo de entidade 2</t>
  </si>
  <si>
    <t>Início no cargo 2</t>
  </si>
  <si>
    <t>Fim no cargo 2</t>
  </si>
  <si>
    <t>Adicionar uma terceira experiência profissional?</t>
  </si>
  <si>
    <t>Entidade 3</t>
  </si>
  <si>
    <t>Posição ocupada 3</t>
  </si>
  <si>
    <t>Tipo de entidade 3</t>
  </si>
  <si>
    <t>Início no cargo 3</t>
  </si>
  <si>
    <t>Fim no cargo 3</t>
  </si>
  <si>
    <t>Adicionar outra experiência profissional?</t>
  </si>
  <si>
    <t>Entidade 4</t>
  </si>
  <si>
    <t>Posição ocupada 4</t>
  </si>
  <si>
    <t>Tipo de entidade 4</t>
  </si>
  <si>
    <t>Início no cargo 4</t>
  </si>
  <si>
    <t>Fim no cargo 4</t>
  </si>
  <si>
    <t>Tem alguma experiência em ensino?</t>
  </si>
  <si>
    <t>Entidade de ensino 1</t>
  </si>
  <si>
    <t>Posição ocupada na entidade 1</t>
  </si>
  <si>
    <t>Início na posição 1</t>
  </si>
  <si>
    <t>Fim na posição 1</t>
  </si>
  <si>
    <t>Inserir outra experiência de ensino?</t>
  </si>
  <si>
    <t>Entidade de ensino 2</t>
  </si>
  <si>
    <t>Posição ocupada na entidade 2</t>
  </si>
  <si>
    <t>Início na posição 2</t>
  </si>
  <si>
    <t>Fim na posição 2</t>
  </si>
  <si>
    <t>Entidade de ensino 3</t>
  </si>
  <si>
    <t>Posição ocupada na entidade 3</t>
  </si>
  <si>
    <t>Início na posição 3</t>
  </si>
  <si>
    <t>Fim na posição 3</t>
  </si>
  <si>
    <t>Entidade de ensino 4</t>
  </si>
  <si>
    <t>Posição ocupada na entidade 4</t>
  </si>
  <si>
    <t>Início na posição 4</t>
  </si>
  <si>
    <t>Fim na posição 4</t>
  </si>
  <si>
    <t>Possui bolsa de estudos de alguma instituição?</t>
  </si>
  <si>
    <t>Deseja solicitar bolsa?</t>
  </si>
  <si>
    <t>IES da última titulação</t>
  </si>
  <si>
    <t>Quais as suas expectativas em relação ao curso?</t>
  </si>
  <si>
    <t>Como soube do programa?</t>
  </si>
  <si>
    <t>Foto para identificação</t>
  </si>
  <si>
    <t>[Document Studio] File Link</t>
  </si>
  <si>
    <t>[Document Studio] File Status</t>
  </si>
  <si>
    <t>[Document Studio] Email Status</t>
  </si>
  <si>
    <t>MESTRADO</t>
  </si>
  <si>
    <t>Luiz Tadeu Fernandes Eleno</t>
  </si>
  <si>
    <t>luizeleno@gmail.com</t>
  </si>
  <si>
    <t>Masculino</t>
  </si>
  <si>
    <t>Casado (a)</t>
  </si>
  <si>
    <t>Não</t>
  </si>
  <si>
    <t>Branca</t>
  </si>
  <si>
    <t>São Paulo</t>
  </si>
  <si>
    <t>SP</t>
  </si>
  <si>
    <t>10/1/1000</t>
  </si>
  <si>
    <t>efg</t>
  </si>
  <si>
    <t xml:space="preserve">sgegvb werger </t>
  </si>
  <si>
    <t>lkljknljmnjln</t>
  </si>
  <si>
    <t>Lorena</t>
  </si>
  <si>
    <t>Celular</t>
  </si>
  <si>
    <t>wlwskl eflkwefçk wefçkwrkçm wfwçk</t>
  </si>
  <si>
    <t>feggkç</t>
  </si>
  <si>
    <t>dsfkçef sçw  kçwsg wfwe</t>
  </si>
  <si>
    <t>çkgbedkç</t>
  </si>
  <si>
    <t>vçmkefkml</t>
  </si>
  <si>
    <t>IFUSP</t>
  </si>
  <si>
    <t>pós-doutorado</t>
  </si>
  <si>
    <t>Sim</t>
  </si>
  <si>
    <t>PMT</t>
  </si>
  <si>
    <t>Doutorado</t>
  </si>
  <si>
    <t>Inglês</t>
  </si>
  <si>
    <t>Avançado</t>
  </si>
  <si>
    <t>Alemão</t>
  </si>
  <si>
    <t>Básico</t>
  </si>
  <si>
    <t>Intermediário</t>
  </si>
  <si>
    <t>EEL</t>
  </si>
  <si>
    <t>Professor</t>
  </si>
  <si>
    <t>boas</t>
  </si>
  <si>
    <t>Aluno PPGEM</t>
  </si>
  <si>
    <t>https://drive.google.com/open?id=1u2anZ0EbHjDsofd2dRkM3GfGOdyDncPk</t>
  </si>
  <si>
    <t>DOUTORADO DIRETO</t>
  </si>
  <si>
    <t>Luiz Eleno</t>
  </si>
  <si>
    <t>jlh</t>
  </si>
  <si>
    <t>0807</t>
  </si>
  <si>
    <t>jkhhkl</t>
  </si>
  <si>
    <t>hkbhklbkhbl</t>
  </si>
  <si>
    <t>khlkbhlkbh</t>
  </si>
  <si>
    <t>087087</t>
  </si>
  <si>
    <t>kjbkjbkhkbj</t>
  </si>
  <si>
    <t>kbhhvg</t>
  </si>
  <si>
    <t>sdgas</t>
  </si>
  <si>
    <t>jcjh</t>
  </si>
  <si>
    <t>hg</t>
  </si>
  <si>
    <t>hfg</t>
  </si>
  <si>
    <t>jjfgvmgjf</t>
  </si>
  <si>
    <t>jgjgv</t>
  </si>
  <si>
    <t>klhbhkbl</t>
  </si>
  <si>
    <t>sdflgbndflsjn</t>
  </si>
  <si>
    <t>Pesquisa online</t>
  </si>
  <si>
    <t>https://drive.google.com/open?id=1U6J1SRSpedIlN4A-tqE2DpfLlvH9quQ4</t>
  </si>
  <si>
    <t>https://drive.google.com/open?id=16NGZxkX54BKkFKnOroyP0GZY07N5DwVO</t>
  </si>
  <si>
    <t>Luiz Tadeu Eleno</t>
  </si>
  <si>
    <t>sdkjl</t>
  </si>
  <si>
    <t>lkjlk</t>
  </si>
  <si>
    <t>1/1/1000</t>
  </si>
  <si>
    <t>02</t>
  </si>
  <si>
    <t>04</t>
  </si>
  <si>
    <t>df</t>
  </si>
  <si>
    <t>Fixo</t>
  </si>
  <si>
    <t>lklk</t>
  </si>
  <si>
    <t>lklklk</t>
  </si>
  <si>
    <t>lklkmklml</t>
  </si>
  <si>
    <t>Redes sociais</t>
  </si>
  <si>
    <t>https://drive.google.com/open?id=1s_dWl9614Li_X-_A4ooJ3RQcxlNuIkE1</t>
  </si>
  <si>
    <t>https://drive.google.com/open?id=19adellV69XeNi0ddV8_wkzBGpyWzIBMB</t>
  </si>
  <si>
    <t>sdvçmksdvçmkakçm</t>
  </si>
  <si>
    <t>Não declarado</t>
  </si>
  <si>
    <t>sdgsg</t>
  </si>
  <si>
    <t>1/1/1222</t>
  </si>
  <si>
    <t>USP</t>
  </si>
  <si>
    <t>Escola onde estudo</t>
  </si>
  <si>
    <t>https://drive.google.com/open?id=1r9n2ax1fFKhEQ7hvUIIedX-XZsYFu5Qy</t>
  </si>
  <si>
    <t>https://drive.google.com/open?id=1xC4a_QVsrKXPgT_vUInL3mRGZAraVpLx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</si>
</sst>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5">
    <font>
      <sz val="10.0"/>
      <color rgb="FF000000"/>
      <name val="Arial"/>
    </font>
    <font>
      <color theme="1"/>
      <name val="Arial"/>
    </font>
    <font/>
    <font>
      <u/>
      <color rgb="FF0000FF"/>
    </font>
    <font>
      <u/>
      <color rgb="FF0000FF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1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4" numFmtId="0" xfId="0" applyFont="1"/>
    <xf quotePrefix="1" borderId="0" fillId="0" fontId="1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drive.google.com/open?id=1u2anZ0EbHjDsofd2dRkM3GfGOdyDncPk" TargetMode="External"/><Relationship Id="rId2" Type="http://schemas.openxmlformats.org/officeDocument/2006/relationships/hyperlink" Target="https://drive.google.com/open?id=1U6J1SRSpedIlN4A-tqE2DpfLlvH9quQ4" TargetMode="External"/><Relationship Id="rId3" Type="http://schemas.openxmlformats.org/officeDocument/2006/relationships/hyperlink" Target="https://drive.google.com/open?id=16NGZxkX54BKkFKnOroyP0GZY07N5DwVO" TargetMode="External"/><Relationship Id="rId4" Type="http://schemas.openxmlformats.org/officeDocument/2006/relationships/hyperlink" Target="https://drive.google.com/open?id=1s_dWl9614Li_X-_A4ooJ3RQcxlNuIkE1" TargetMode="External"/><Relationship Id="rId5" Type="http://schemas.openxmlformats.org/officeDocument/2006/relationships/hyperlink" Target="https://drive.google.com/open?id=19adellV69XeNi0ddV8_wkzBGpyWzIBMB" TargetMode="External"/><Relationship Id="rId6" Type="http://schemas.openxmlformats.org/officeDocument/2006/relationships/hyperlink" Target="https://drive.google.com/open?id=1r9n2ax1fFKhEQ7hvUIIedX-XZsYFu5Qy" TargetMode="External"/><Relationship Id="rId7" Type="http://schemas.openxmlformats.org/officeDocument/2006/relationships/hyperlink" Target="https://drive.google.com/open?id=1xC4a_QVsrKXPgT_vUInL3mRGZAraVpLx" TargetMode="External"/><Relationship Id="rId8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75"/>
  <cols>
    <col customWidth="1" min="1" max="125" width="21.57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39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53</v>
      </c>
      <c r="BI1" s="1" t="s">
        <v>58</v>
      </c>
      <c r="BJ1" s="1" t="s">
        <v>59</v>
      </c>
      <c r="BK1" s="1" t="s">
        <v>60</v>
      </c>
      <c r="BL1" s="1" t="s">
        <v>61</v>
      </c>
      <c r="BM1" s="1" t="s">
        <v>53</v>
      </c>
      <c r="BN1" s="1" t="s">
        <v>62</v>
      </c>
      <c r="BO1" s="1" t="s">
        <v>63</v>
      </c>
      <c r="BP1" s="1" t="s">
        <v>64</v>
      </c>
      <c r="BQ1" s="1" t="s">
        <v>65</v>
      </c>
      <c r="BR1" s="1" t="s">
        <v>66</v>
      </c>
      <c r="BS1" s="1" t="s">
        <v>67</v>
      </c>
      <c r="BT1" s="1" t="s">
        <v>68</v>
      </c>
      <c r="BU1" s="1" t="s">
        <v>69</v>
      </c>
      <c r="BV1" s="1" t="s">
        <v>70</v>
      </c>
      <c r="BW1" s="1" t="s">
        <v>71</v>
      </c>
      <c r="BX1" s="1" t="s">
        <v>72</v>
      </c>
      <c r="BY1" s="1" t="s">
        <v>73</v>
      </c>
      <c r="BZ1" s="1" t="s">
        <v>74</v>
      </c>
      <c r="CA1" s="1" t="s">
        <v>75</v>
      </c>
      <c r="CB1" s="1" t="s">
        <v>76</v>
      </c>
      <c r="CC1" s="1" t="s">
        <v>77</v>
      </c>
      <c r="CD1" s="1" t="s">
        <v>78</v>
      </c>
      <c r="CE1" s="1" t="s">
        <v>79</v>
      </c>
      <c r="CF1" s="1" t="s">
        <v>80</v>
      </c>
      <c r="CG1" s="1" t="s">
        <v>81</v>
      </c>
      <c r="CH1" s="1" t="s">
        <v>82</v>
      </c>
      <c r="CI1" s="1" t="s">
        <v>83</v>
      </c>
      <c r="CJ1" s="1" t="s">
        <v>84</v>
      </c>
      <c r="CK1" s="1" t="s">
        <v>85</v>
      </c>
      <c r="CL1" s="1" t="s">
        <v>86</v>
      </c>
      <c r="CM1" s="1" t="s">
        <v>87</v>
      </c>
      <c r="CN1" s="1" t="s">
        <v>88</v>
      </c>
      <c r="CO1" s="1" t="s">
        <v>89</v>
      </c>
      <c r="CP1" s="1" t="s">
        <v>90</v>
      </c>
      <c r="CQ1" s="1" t="s">
        <v>91</v>
      </c>
      <c r="CR1" s="1" t="s">
        <v>92</v>
      </c>
      <c r="CS1" s="1" t="s">
        <v>93</v>
      </c>
      <c r="CT1" s="1" t="s">
        <v>94</v>
      </c>
      <c r="CU1" s="1" t="s">
        <v>95</v>
      </c>
      <c r="CV1" s="1" t="s">
        <v>96</v>
      </c>
      <c r="CW1" s="1" t="s">
        <v>97</v>
      </c>
      <c r="CX1" s="1" t="s">
        <v>98</v>
      </c>
      <c r="CY1" s="1" t="s">
        <v>99</v>
      </c>
      <c r="CZ1" s="1" t="s">
        <v>95</v>
      </c>
      <c r="DA1" s="1" t="s">
        <v>100</v>
      </c>
      <c r="DB1" s="1" t="s">
        <v>101</v>
      </c>
      <c r="DC1" s="1" t="s">
        <v>102</v>
      </c>
      <c r="DD1" s="1" t="s">
        <v>103</v>
      </c>
      <c r="DE1" s="1" t="s">
        <v>95</v>
      </c>
      <c r="DF1" s="1" t="s">
        <v>104</v>
      </c>
      <c r="DG1" s="1" t="s">
        <v>105</v>
      </c>
      <c r="DH1" s="1" t="s">
        <v>106</v>
      </c>
      <c r="DI1" s="1" t="s">
        <v>107</v>
      </c>
      <c r="DJ1" s="1" t="s">
        <v>108</v>
      </c>
      <c r="DK1" s="1" t="s">
        <v>109</v>
      </c>
      <c r="DL1" s="1" t="s">
        <v>110</v>
      </c>
      <c r="DM1" s="1" t="s">
        <v>111</v>
      </c>
      <c r="DN1" s="1" t="s">
        <v>112</v>
      </c>
      <c r="DO1" s="2" t="s">
        <v>113</v>
      </c>
      <c r="DP1" s="3" t="s">
        <v>114</v>
      </c>
      <c r="DQ1" s="3" t="s">
        <v>115</v>
      </c>
      <c r="DR1" s="3" t="s">
        <v>116</v>
      </c>
    </row>
    <row r="2">
      <c r="A2" s="4">
        <v>44316.478505127314</v>
      </c>
      <c r="B2" s="3" t="s">
        <v>117</v>
      </c>
      <c r="C2" s="3" t="s">
        <v>118</v>
      </c>
      <c r="D2" s="3" t="s">
        <v>119</v>
      </c>
      <c r="E2" s="3" t="s">
        <v>120</v>
      </c>
      <c r="F2" s="3" t="s">
        <v>121</v>
      </c>
      <c r="G2" s="3" t="s">
        <v>122</v>
      </c>
      <c r="H2" s="3" t="s">
        <v>123</v>
      </c>
      <c r="I2" s="3">
        <v>0.0</v>
      </c>
      <c r="J2" s="5">
        <v>28034.0</v>
      </c>
      <c r="K2" s="3" t="s">
        <v>124</v>
      </c>
      <c r="L2" s="3" t="s">
        <v>125</v>
      </c>
      <c r="M2" s="3">
        <v>3.452356354E9</v>
      </c>
      <c r="N2" s="3">
        <v>5.2342334E7</v>
      </c>
      <c r="O2" s="5" t="s">
        <v>126</v>
      </c>
      <c r="P2" s="3" t="s">
        <v>127</v>
      </c>
      <c r="Q2" s="3">
        <v>1176388.0</v>
      </c>
      <c r="R2" s="3" t="s">
        <v>128</v>
      </c>
      <c r="S2" s="3" t="s">
        <v>129</v>
      </c>
      <c r="T2" s="3" t="s">
        <v>130</v>
      </c>
      <c r="U2" s="3">
        <v>2542414.0</v>
      </c>
      <c r="V2" s="3" t="s">
        <v>131</v>
      </c>
      <c r="W2" s="3">
        <v>4.5465765E7</v>
      </c>
      <c r="X2" s="3" t="s">
        <v>132</v>
      </c>
      <c r="Y2" s="3" t="s">
        <v>133</v>
      </c>
      <c r="Z2" s="3" t="s">
        <v>134</v>
      </c>
      <c r="AA2" s="3" t="s">
        <v>135</v>
      </c>
      <c r="AB2" s="3" t="s">
        <v>136</v>
      </c>
      <c r="AC2" s="3" t="s">
        <v>125</v>
      </c>
      <c r="AD2" s="3">
        <v>8.71871871E8</v>
      </c>
      <c r="AE2" s="3">
        <v>2.354245234E9</v>
      </c>
      <c r="AF2" s="3" t="s">
        <v>137</v>
      </c>
      <c r="AG2" s="3" t="s">
        <v>138</v>
      </c>
      <c r="AH2" s="5">
        <v>37622.0</v>
      </c>
      <c r="AI2" s="5">
        <v>37987.0</v>
      </c>
      <c r="AJ2" s="3" t="s">
        <v>139</v>
      </c>
      <c r="AK2" s="3" t="s">
        <v>140</v>
      </c>
      <c r="AL2" s="3" t="s">
        <v>141</v>
      </c>
      <c r="AM2" s="5">
        <v>37987.0</v>
      </c>
      <c r="AN2" s="5">
        <v>38353.0</v>
      </c>
      <c r="AO2" s="3" t="s">
        <v>122</v>
      </c>
      <c r="AY2" s="3" t="s">
        <v>142</v>
      </c>
      <c r="AZ2" s="3" t="s">
        <v>143</v>
      </c>
      <c r="BA2" s="3" t="s">
        <v>143</v>
      </c>
      <c r="BB2" s="3" t="s">
        <v>143</v>
      </c>
      <c r="BC2" s="3" t="s">
        <v>139</v>
      </c>
      <c r="BD2" s="3" t="s">
        <v>144</v>
      </c>
      <c r="BE2" s="3" t="s">
        <v>145</v>
      </c>
      <c r="BF2" s="3" t="s">
        <v>145</v>
      </c>
      <c r="BG2" s="3" t="s">
        <v>146</v>
      </c>
      <c r="BH2" s="3" t="s">
        <v>122</v>
      </c>
      <c r="BR2" s="3" t="s">
        <v>122</v>
      </c>
      <c r="CP2" s="3" t="s">
        <v>139</v>
      </c>
      <c r="CQ2" s="3" t="s">
        <v>147</v>
      </c>
      <c r="CR2" s="3" t="s">
        <v>148</v>
      </c>
      <c r="CS2" s="5">
        <v>41764.0</v>
      </c>
      <c r="CU2" s="3" t="s">
        <v>122</v>
      </c>
      <c r="DJ2" s="3" t="s">
        <v>122</v>
      </c>
      <c r="DK2" s="3" t="s">
        <v>139</v>
      </c>
      <c r="DL2" s="3" t="s">
        <v>147</v>
      </c>
      <c r="DM2" s="3" t="s">
        <v>149</v>
      </c>
      <c r="DN2" s="3" t="s">
        <v>150</v>
      </c>
      <c r="DO2" s="6"/>
      <c r="DP2" s="7" t="s">
        <v>151</v>
      </c>
      <c r="DQ2" s="8" t="str">
        <f>HYPERLINK("https://drive.google.com/open?id=1u2anZ0EbHjDsofd2dRkM3GfGOdyDncPk","Modelo de inscrição.pdf")</f>
        <v>Modelo de inscrição.pdf</v>
      </c>
      <c r="DR2" s="8" t="str">
        <f>HYPERLINK("https://mail.google.com/mail/u/?authuser=luizeleno@usp.br#all/179232f4abeddd7c","Email sent to luizeleno@gmail.com, luizeleno@usp.br")</f>
        <v>Email sent to luizeleno@gmail.com, luizeleno@usp.br</v>
      </c>
    </row>
    <row r="3">
      <c r="A3" s="4">
        <v>44316.5262440625</v>
      </c>
      <c r="B3" s="3" t="s">
        <v>152</v>
      </c>
      <c r="C3" s="3" t="s">
        <v>153</v>
      </c>
      <c r="D3" s="3" t="s">
        <v>119</v>
      </c>
      <c r="E3" s="3" t="s">
        <v>120</v>
      </c>
      <c r="F3" s="3" t="s">
        <v>121</v>
      </c>
      <c r="G3" s="3" t="s">
        <v>122</v>
      </c>
      <c r="H3" s="3" t="s">
        <v>123</v>
      </c>
      <c r="I3" s="3">
        <v>0.0</v>
      </c>
      <c r="J3" s="5">
        <v>28034.0</v>
      </c>
      <c r="K3" s="3" t="s">
        <v>124</v>
      </c>
      <c r="L3" s="3" t="s">
        <v>125</v>
      </c>
      <c r="M3" s="3">
        <v>9.76986968E8</v>
      </c>
      <c r="N3" s="3">
        <v>9697957.0</v>
      </c>
      <c r="O3" s="5">
        <v>28034.0</v>
      </c>
      <c r="P3" s="3" t="s">
        <v>154</v>
      </c>
      <c r="Q3" s="9" t="s">
        <v>155</v>
      </c>
      <c r="R3" s="3" t="s">
        <v>156</v>
      </c>
      <c r="S3" s="3" t="s">
        <v>157</v>
      </c>
      <c r="T3" s="3" t="s">
        <v>158</v>
      </c>
      <c r="U3" s="3">
        <v>7.8979876E7</v>
      </c>
      <c r="V3" s="3" t="s">
        <v>131</v>
      </c>
      <c r="W3" s="9" t="s">
        <v>159</v>
      </c>
      <c r="X3" s="3" t="s">
        <v>160</v>
      </c>
      <c r="Y3" s="3" t="s">
        <v>161</v>
      </c>
      <c r="Z3" s="3" t="s">
        <v>162</v>
      </c>
      <c r="AA3" s="3" t="s">
        <v>163</v>
      </c>
      <c r="AB3" s="3" t="s">
        <v>164</v>
      </c>
      <c r="AC3" s="3" t="s">
        <v>165</v>
      </c>
      <c r="AD3" s="3">
        <v>678969.0</v>
      </c>
      <c r="AE3" s="3">
        <v>969769.0</v>
      </c>
      <c r="AF3" s="3" t="s">
        <v>166</v>
      </c>
      <c r="AG3" s="3" t="s">
        <v>167</v>
      </c>
      <c r="AH3" s="5">
        <v>36892.0</v>
      </c>
      <c r="AI3" s="5">
        <v>37257.0</v>
      </c>
      <c r="AJ3" s="3" t="s">
        <v>122</v>
      </c>
      <c r="AY3" s="3" t="s">
        <v>168</v>
      </c>
      <c r="AZ3" s="3" t="s">
        <v>143</v>
      </c>
      <c r="BA3" s="3" t="s">
        <v>146</v>
      </c>
      <c r="BB3" s="3" t="s">
        <v>145</v>
      </c>
      <c r="BC3" s="3" t="s">
        <v>122</v>
      </c>
      <c r="BR3" s="3" t="s">
        <v>122</v>
      </c>
      <c r="CP3" s="3" t="s">
        <v>122</v>
      </c>
      <c r="DJ3" s="3" t="s">
        <v>122</v>
      </c>
      <c r="DK3" s="3" t="s">
        <v>139</v>
      </c>
      <c r="DL3" s="3" t="s">
        <v>147</v>
      </c>
      <c r="DM3" s="3" t="s">
        <v>169</v>
      </c>
      <c r="DN3" s="3" t="s">
        <v>170</v>
      </c>
      <c r="DO3" s="7" t="s">
        <v>171</v>
      </c>
      <c r="DP3" s="7" t="s">
        <v>172</v>
      </c>
      <c r="DQ3" s="8" t="str">
        <f>HYPERLINK("https://drive.google.com/open?id=16NGZxkX54BKkFKnOroyP0GZY07N5DwVO","Modelo de inscrição.pdf")</f>
        <v>Modelo de inscrição.pdf</v>
      </c>
      <c r="DR3" s="8" t="str">
        <f>HYPERLINK("https://mail.google.com/mail/u/?authuser=luizeleno@usp.br#all/179236e4a909c715","Email sent to luizeleno@gmail.com, ppgem-eel@usp.br")</f>
        <v>Email sent to luizeleno@gmail.com, ppgem-eel@usp.br</v>
      </c>
    </row>
    <row r="4">
      <c r="A4" s="4">
        <v>44316.534864409725</v>
      </c>
      <c r="B4" s="3" t="s">
        <v>117</v>
      </c>
      <c r="C4" s="3" t="s">
        <v>173</v>
      </c>
      <c r="D4" s="3" t="s">
        <v>119</v>
      </c>
      <c r="E4" s="3" t="s">
        <v>120</v>
      </c>
      <c r="F4" s="3" t="s">
        <v>121</v>
      </c>
      <c r="G4" s="3" t="s">
        <v>122</v>
      </c>
      <c r="H4" s="3" t="s">
        <v>123</v>
      </c>
      <c r="I4" s="3">
        <v>9.0</v>
      </c>
      <c r="J4" s="5">
        <v>36892.0</v>
      </c>
      <c r="K4" s="3" t="s">
        <v>174</v>
      </c>
      <c r="L4" s="3" t="s">
        <v>175</v>
      </c>
      <c r="M4" s="3">
        <v>2.452345245234E12</v>
      </c>
      <c r="N4" s="3">
        <v>2.452345245234E12</v>
      </c>
      <c r="O4" s="5" t="s">
        <v>176</v>
      </c>
      <c r="P4" s="9" t="s">
        <v>177</v>
      </c>
      <c r="Q4" s="9" t="s">
        <v>178</v>
      </c>
      <c r="R4" s="3">
        <v>2.452345245234E12</v>
      </c>
      <c r="S4" s="3">
        <v>2.452345245234E12</v>
      </c>
      <c r="T4" s="3" t="s">
        <v>179</v>
      </c>
      <c r="U4" s="3">
        <v>2.452345245234E12</v>
      </c>
      <c r="V4" s="3" t="s">
        <v>180</v>
      </c>
      <c r="W4" s="3">
        <v>2.452345245234E12</v>
      </c>
      <c r="X4" s="3">
        <v>2.452345245234E12</v>
      </c>
      <c r="Y4" s="3">
        <v>2.452345245234E12</v>
      </c>
      <c r="Z4" s="3">
        <v>2.452345245234E12</v>
      </c>
      <c r="AA4" s="3">
        <v>2.452345245234E12</v>
      </c>
      <c r="AB4" s="3">
        <v>2.452345245234E12</v>
      </c>
      <c r="AC4" s="3">
        <v>245.0</v>
      </c>
      <c r="AD4" s="3">
        <v>2.452345245234E12</v>
      </c>
      <c r="AE4" s="3">
        <v>2.452345245234E12</v>
      </c>
      <c r="AF4" s="3">
        <v>2.452345245234E12</v>
      </c>
      <c r="AG4" s="3">
        <v>2.452345245234E12</v>
      </c>
      <c r="AH4" s="5">
        <v>37622.0</v>
      </c>
      <c r="AI4" s="5">
        <v>40238.0</v>
      </c>
      <c r="AJ4" s="3" t="s">
        <v>122</v>
      </c>
      <c r="AY4" s="3" t="s">
        <v>181</v>
      </c>
      <c r="AZ4" s="3" t="s">
        <v>143</v>
      </c>
      <c r="BA4" s="3" t="s">
        <v>145</v>
      </c>
      <c r="BB4" s="3" t="s">
        <v>146</v>
      </c>
      <c r="BC4" s="3" t="s">
        <v>122</v>
      </c>
      <c r="BR4" s="3" t="s">
        <v>122</v>
      </c>
      <c r="CP4" s="3" t="s">
        <v>122</v>
      </c>
      <c r="DJ4" s="3" t="s">
        <v>122</v>
      </c>
      <c r="DK4" s="3" t="s">
        <v>139</v>
      </c>
      <c r="DL4" s="3" t="s">
        <v>182</v>
      </c>
      <c r="DM4" s="3" t="s">
        <v>183</v>
      </c>
      <c r="DN4" s="3" t="s">
        <v>184</v>
      </c>
      <c r="DO4" s="7" t="s">
        <v>185</v>
      </c>
      <c r="DP4" s="7" t="s">
        <v>186</v>
      </c>
      <c r="DQ4" s="8" t="str">
        <f>HYPERLINK("https://drive.google.com/open?id=19adellV69XeNi0ddV8_wkzBGpyWzIBMB","Modelo de inscrição.pdf")</f>
        <v>Modelo de inscrição.pdf</v>
      </c>
      <c r="DR4" s="8" t="str">
        <f>HYPERLINK("https://mail.google.com/mail/u/?authuser=luizeleno@usp.br#all/179237987dc737fb","Email sent to luizeleno@gmail.com, ppgem-eel@usp.br")</f>
        <v>Email sent to luizeleno@gmail.com, ppgem-eel@usp.br</v>
      </c>
    </row>
    <row r="5">
      <c r="A5" s="4">
        <v>44316.54722596065</v>
      </c>
      <c r="B5" s="3" t="s">
        <v>117</v>
      </c>
      <c r="C5" s="3" t="s">
        <v>187</v>
      </c>
      <c r="D5" s="3" t="s">
        <v>119</v>
      </c>
      <c r="E5" s="3" t="s">
        <v>120</v>
      </c>
      <c r="F5" s="3" t="s">
        <v>121</v>
      </c>
      <c r="G5" s="3" t="s">
        <v>122</v>
      </c>
      <c r="H5" s="3" t="s">
        <v>188</v>
      </c>
      <c r="I5" s="3">
        <v>7.0</v>
      </c>
      <c r="J5" s="5">
        <v>2.0</v>
      </c>
      <c r="K5" s="3" t="s">
        <v>189</v>
      </c>
      <c r="L5" s="3">
        <v>425245.0</v>
      </c>
      <c r="M5" s="3">
        <v>425245.0</v>
      </c>
      <c r="N5" s="3">
        <v>425245.0</v>
      </c>
      <c r="O5" s="5">
        <v>2.0</v>
      </c>
      <c r="P5" s="3">
        <v>425245.0</v>
      </c>
      <c r="R5" s="3">
        <v>425245.0</v>
      </c>
      <c r="S5" s="3">
        <v>425245.0</v>
      </c>
      <c r="T5" s="3">
        <v>425245.0</v>
      </c>
      <c r="U5" s="3">
        <v>425245.0</v>
      </c>
      <c r="V5" s="3" t="s">
        <v>180</v>
      </c>
      <c r="W5" s="3">
        <v>425245.0</v>
      </c>
      <c r="X5" s="3">
        <v>425245.0</v>
      </c>
      <c r="Y5" s="3">
        <v>425245.0</v>
      </c>
      <c r="Z5" s="3">
        <v>425245.0</v>
      </c>
      <c r="AA5" s="3">
        <v>425245.0</v>
      </c>
      <c r="AB5" s="3">
        <v>425245.0</v>
      </c>
      <c r="AC5" s="3">
        <v>425245.0</v>
      </c>
      <c r="AD5" s="3">
        <v>425245.0</v>
      </c>
      <c r="AE5" s="3">
        <v>425245.0</v>
      </c>
      <c r="AF5" s="3">
        <v>425245.0</v>
      </c>
      <c r="AG5" s="3">
        <v>425245.0</v>
      </c>
      <c r="AH5" s="5" t="s">
        <v>190</v>
      </c>
      <c r="AI5" s="5">
        <v>40179.0</v>
      </c>
      <c r="AJ5" s="3" t="s">
        <v>122</v>
      </c>
      <c r="AY5" s="3">
        <v>425245.0</v>
      </c>
      <c r="AZ5" s="3" t="s">
        <v>145</v>
      </c>
      <c r="BA5" s="3" t="s">
        <v>145</v>
      </c>
      <c r="BB5" s="3" t="s">
        <v>145</v>
      </c>
      <c r="BC5" s="3" t="s">
        <v>122</v>
      </c>
      <c r="BR5" s="3" t="s">
        <v>122</v>
      </c>
      <c r="CP5" s="3" t="s">
        <v>122</v>
      </c>
      <c r="DJ5" s="3" t="s">
        <v>122</v>
      </c>
      <c r="DK5" s="3" t="s">
        <v>139</v>
      </c>
      <c r="DL5" s="3" t="s">
        <v>191</v>
      </c>
      <c r="DM5" s="3">
        <v>425245.0</v>
      </c>
      <c r="DN5" s="3" t="s">
        <v>192</v>
      </c>
      <c r="DO5" s="7" t="s">
        <v>193</v>
      </c>
      <c r="DP5" s="7" t="s">
        <v>194</v>
      </c>
      <c r="DQ5" s="8" t="str">
        <f>HYPERLINK("https://drive.google.com/open?id=1xC4a_QVsrKXPgT_vUInL3mRGZAraVpLx","Modelo de inscrição.pdf")</f>
        <v>Modelo de inscrição.pdf</v>
      </c>
      <c r="DR5" s="8" t="str">
        <f>HYPERLINK("https://mail.google.com/mail/u/?authuser=luizeleno@usp.br#all/1792389e62950452","Email sent to luizeleno@gmail.com, ppgem-eel@usp.br")</f>
        <v>Email sent to luizeleno@gmail.com, ppgem-eel@usp.br</v>
      </c>
    </row>
  </sheetData>
  <hyperlinks>
    <hyperlink r:id="rId1" ref="DP2"/>
    <hyperlink r:id="rId2" ref="DO3"/>
    <hyperlink r:id="rId3" ref="DP3"/>
    <hyperlink r:id="rId4" ref="DO4"/>
    <hyperlink r:id="rId5" ref="DP4"/>
    <hyperlink r:id="rId6" ref="DO5"/>
    <hyperlink r:id="rId7" ref="DP5"/>
  </hyperlinks>
  <drawing r:id="rId8"/>
</worksheet>
</file>