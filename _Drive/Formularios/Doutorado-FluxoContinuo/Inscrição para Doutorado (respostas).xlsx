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espostas" sheetId="1" r:id="rId4"/>
  </sheets>
  <definedNames/>
  <calcPr/>
</workbook>
</file>

<file path=xl/sharedStrings.xml><?xml version="1.0" encoding="utf-8"?>
<sst xmlns="http://schemas.openxmlformats.org/spreadsheetml/2006/main" count="394" uniqueCount="238">
  <si>
    <t>Carimbo de data/hora</t>
  </si>
  <si>
    <t>Nome completo</t>
  </si>
  <si>
    <t>Endereço de e-mail</t>
  </si>
  <si>
    <t>Gênero</t>
  </si>
  <si>
    <t>Estado Civil</t>
  </si>
  <si>
    <t>É portador de necessidades especiais?</t>
  </si>
  <si>
    <t>Raça/cor</t>
  </si>
  <si>
    <t>Número de dependentes</t>
  </si>
  <si>
    <t>Data de nascimento</t>
  </si>
  <si>
    <t>Cidade de nascimento</t>
  </si>
  <si>
    <t>Estado/País de nascimento</t>
  </si>
  <si>
    <t>CPF</t>
  </si>
  <si>
    <t>Identidade (RG)</t>
  </si>
  <si>
    <t>Data de emissão</t>
  </si>
  <si>
    <t>Órgão emissor</t>
  </si>
  <si>
    <t>Número USP</t>
  </si>
  <si>
    <t>Logradouro</t>
  </si>
  <si>
    <t>Bairro</t>
  </si>
  <si>
    <t>Cidade</t>
  </si>
  <si>
    <t>Código Postal (CEP)</t>
  </si>
  <si>
    <t>Tipo de telefone</t>
  </si>
  <si>
    <t>Telefone</t>
  </si>
  <si>
    <t>Nome do contato de emergência</t>
  </si>
  <si>
    <t>Grau de parentesco</t>
  </si>
  <si>
    <t>Endereço do contato</t>
  </si>
  <si>
    <t>Bairro do contato</t>
  </si>
  <si>
    <t>Cidade do contato</t>
  </si>
  <si>
    <t>Estado/País do contato</t>
  </si>
  <si>
    <t>Código Postal (CEP) do contato</t>
  </si>
  <si>
    <t>Telefone do contato</t>
  </si>
  <si>
    <t>Instituição 1</t>
  </si>
  <si>
    <t>Título/Especialidade 1</t>
  </si>
  <si>
    <t>Início 1</t>
  </si>
  <si>
    <t>Fim 1</t>
  </si>
  <si>
    <t>Adicionar segundo item?</t>
  </si>
  <si>
    <t>Instituição 2</t>
  </si>
  <si>
    <t>Título/Especialidade 2</t>
  </si>
  <si>
    <t>Início 2</t>
  </si>
  <si>
    <t>Fim 3</t>
  </si>
  <si>
    <t>Adicionar terceiro item?</t>
  </si>
  <si>
    <t>Instituição 3</t>
  </si>
  <si>
    <t>Título/Especialidade 3</t>
  </si>
  <si>
    <t>Início 3</t>
  </si>
  <si>
    <t>Adicionar quarto (e último) item?</t>
  </si>
  <si>
    <t>Instituição 4</t>
  </si>
  <si>
    <t>Título/Especialidade 4</t>
  </si>
  <si>
    <t>Início 4</t>
  </si>
  <si>
    <t>Fim 4</t>
  </si>
  <si>
    <t>Idioma 1</t>
  </si>
  <si>
    <t>Leitura 1</t>
  </si>
  <si>
    <t>Redação 1</t>
  </si>
  <si>
    <t>Conversação 1</t>
  </si>
  <si>
    <t>Adicionar outro idioma?</t>
  </si>
  <si>
    <t>Idioma 2</t>
  </si>
  <si>
    <t>Leitura 2</t>
  </si>
  <si>
    <t>Redação 2</t>
  </si>
  <si>
    <t>Conversação 2</t>
  </si>
  <si>
    <t>Idioma 3</t>
  </si>
  <si>
    <t>Leitura 3</t>
  </si>
  <si>
    <t>Redação 3</t>
  </si>
  <si>
    <t>Conversação 3</t>
  </si>
  <si>
    <t>Idioma 4</t>
  </si>
  <si>
    <t>Leitura 4</t>
  </si>
  <si>
    <t>Redação 4</t>
  </si>
  <si>
    <t>Conversação 4</t>
  </si>
  <si>
    <t>Tem alguma experiência profissional?</t>
  </si>
  <si>
    <t>Entidade 1</t>
  </si>
  <si>
    <t>Posição ocupada 1</t>
  </si>
  <si>
    <t>Tipo de entidade 1</t>
  </si>
  <si>
    <t>Início no cargo 1</t>
  </si>
  <si>
    <t>Fim no cargo 1</t>
  </si>
  <si>
    <t>Adicionar uma segunda experiência profissional?</t>
  </si>
  <si>
    <t>Entidade 2</t>
  </si>
  <si>
    <t>Posição ocupada 2</t>
  </si>
  <si>
    <t>Tipo de entidade 2</t>
  </si>
  <si>
    <t>Início no cargo 2</t>
  </si>
  <si>
    <t>Fim no cargo 2</t>
  </si>
  <si>
    <t>Adicionar uma terceira experiência profissional?</t>
  </si>
  <si>
    <t>Entidade 3</t>
  </si>
  <si>
    <t>Posição ocupada 3</t>
  </si>
  <si>
    <t>Tipo de entidade 3</t>
  </si>
  <si>
    <t>Início no cargo 3</t>
  </si>
  <si>
    <t>Fim no cargo 3</t>
  </si>
  <si>
    <t>Adicionar outra experiência profissional?</t>
  </si>
  <si>
    <t>Entidade 4</t>
  </si>
  <si>
    <t>Posição ocupada 4</t>
  </si>
  <si>
    <t>Tipo de entidade 4</t>
  </si>
  <si>
    <t>Início no cargo 4</t>
  </si>
  <si>
    <t>Fim no cargo 4</t>
  </si>
  <si>
    <t>Tem alguma experiência em ensino?</t>
  </si>
  <si>
    <t>Entidade de ensino 1</t>
  </si>
  <si>
    <t>Posição ocupada na entidade 1</t>
  </si>
  <si>
    <t>Início na posição 1</t>
  </si>
  <si>
    <t>Fim na posição 1</t>
  </si>
  <si>
    <t>Inserir outra experiência de ensino?</t>
  </si>
  <si>
    <t>Entidade de ensino 2</t>
  </si>
  <si>
    <t>Posição ocupada na entidade 2</t>
  </si>
  <si>
    <t>Início na posição 2</t>
  </si>
  <si>
    <t>Fim na posição 2</t>
  </si>
  <si>
    <t>Entidade de ensino 3</t>
  </si>
  <si>
    <t>Posição ocupada na entidade 3</t>
  </si>
  <si>
    <t>Início na posição 3</t>
  </si>
  <si>
    <t>Fim na posição 3</t>
  </si>
  <si>
    <t>Entidade de ensino 4</t>
  </si>
  <si>
    <t>Posição ocupada na entidade 4</t>
  </si>
  <si>
    <t>Início na posição 4</t>
  </si>
  <si>
    <t>Fim na posição 4</t>
  </si>
  <si>
    <t>Possui bolsa de estudos de alguma instituição?</t>
  </si>
  <si>
    <t>Deseja solicitar bolsa?</t>
  </si>
  <si>
    <t>'IES da última titulação</t>
  </si>
  <si>
    <t>Quais as suas expectativas em relação ao curso?</t>
  </si>
  <si>
    <t>Como soube do programa?</t>
  </si>
  <si>
    <t>Título do projeto</t>
  </si>
  <si>
    <t>Upload do projeto</t>
  </si>
  <si>
    <t>Foto para identificação</t>
  </si>
  <si>
    <t>Nome do banco</t>
  </si>
  <si>
    <t>Agência</t>
  </si>
  <si>
    <t>Conta corrente</t>
  </si>
  <si>
    <t>[Document Studio] File Link</t>
  </si>
  <si>
    <t>[Document Studio] File Status</t>
  </si>
  <si>
    <t>[Document Studio] Email Status</t>
  </si>
  <si>
    <t>Luiz Eleno</t>
  </si>
  <si>
    <t>luizeleno@gmail.com</t>
  </si>
  <si>
    <t>Masculino</t>
  </si>
  <si>
    <t>Casado (a)</t>
  </si>
  <si>
    <t>Sim</t>
  </si>
  <si>
    <t>Branca</t>
  </si>
  <si>
    <t>São Paulo</t>
  </si>
  <si>
    <t>SP</t>
  </si>
  <si>
    <t>SSP/SP</t>
  </si>
  <si>
    <t>Av. N. Sra Fátima 300 apto 11</t>
  </si>
  <si>
    <t>Cruz</t>
  </si>
  <si>
    <t>Lorena</t>
  </si>
  <si>
    <t>Fixo</t>
  </si>
  <si>
    <t>Zeni</t>
  </si>
  <si>
    <t>mãe</t>
  </si>
  <si>
    <t>R. Atilio Milano, 141</t>
  </si>
  <si>
    <t>Sto Amaro</t>
  </si>
  <si>
    <t>04753090</t>
  </si>
  <si>
    <t>IFUSP</t>
  </si>
  <si>
    <t>PósDoc</t>
  </si>
  <si>
    <t>Poli USP</t>
  </si>
  <si>
    <t>PhD</t>
  </si>
  <si>
    <t>Mestre</t>
  </si>
  <si>
    <t>Não</t>
  </si>
  <si>
    <t>Inglês</t>
  </si>
  <si>
    <t>Avançado</t>
  </si>
  <si>
    <t>Espanhol</t>
  </si>
  <si>
    <t>Alemão</t>
  </si>
  <si>
    <t>Intermediário</t>
  </si>
  <si>
    <t>EEL USP</t>
  </si>
  <si>
    <t>Professor Doutor</t>
  </si>
  <si>
    <t>Pública</t>
  </si>
  <si>
    <t>Professor temporário</t>
  </si>
  <si>
    <t>EEL</t>
  </si>
  <si>
    <t>Sed ut perspiciatis unde omnis iste natus error sit voluptatem accusantium doloremque laudantium, totam rem aperiam, eaque ipsa quae ab illo inventore veritatis et quasi architecto beatae vitae dicta sunt explicabo. Nemo enim ipsam voluptatem quia voluptas sit aspernatur aut odit aut fugit, sed quia consequuntur magni dolores eos qui ratione voluptatem sequi nesciunt. Neque porro quisquam est, qui dolorem ipsum quia dolor sit amet, consectetur, adipisci velit, sed quia non numquam eius modi tempora incidunt ut labore et dolore magnam aliquam quaerat voluptatem. Ut enim ad minima veniam, quis nostrum exercitationem ullam corporis suscipit laboriosam, nisi ut aliquid ex ea commodi consequatur? Quis autem vel eum iure reprehenderit qui in ea voluptate velit esse quam nihil molestiae consequatur, vel illum qui dolorem eum fugiat quo voluptas nulla pariatur?</t>
  </si>
  <si>
    <t>Folheto do PPGEM</t>
  </si>
  <si>
    <t>Projeto do Luiz</t>
  </si>
  <si>
    <t>https://drive.google.com/open?id=1mZrGVRJaPnYpvH6SB5Yhwg1V5JEwU6zK</t>
  </si>
  <si>
    <t>Elenão</t>
  </si>
  <si>
    <t>23rfljwefvbjl</t>
  </si>
  <si>
    <t>1/1/1001</t>
  </si>
  <si>
    <t>Básico</t>
  </si>
  <si>
    <t>AEF2F3BEB32</t>
  </si>
  <si>
    <t>efvev</t>
  </si>
  <si>
    <t>v3rrv</t>
  </si>
  <si>
    <t>Privada</t>
  </si>
  <si>
    <t>cv3rf3rfgv</t>
  </si>
  <si>
    <t>c3tgv3rtg32</t>
  </si>
  <si>
    <t>crw3vc3rvo32r</t>
  </si>
  <si>
    <t>pç3rfv23-9r</t>
  </si>
  <si>
    <t>efvçkm3rvk3</t>
  </si>
  <si>
    <t>,-09908m-9</t>
  </si>
  <si>
    <t>vetg4ç,m30</t>
  </si>
  <si>
    <t>mvg=033vb</t>
  </si>
  <si>
    <t>çm, ve4g30</t>
  </si>
  <si>
    <t xml:space="preserve">kmcr3 4r </t>
  </si>
  <si>
    <t>efvbçmkev3</t>
  </si>
  <si>
    <t>3rtvkp3</t>
  </si>
  <si>
    <t>efvçvkm34</t>
  </si>
  <si>
    <t>3rçkm çkfgsd lkmnkl</t>
  </si>
  <si>
    <t>11/11/1111</t>
  </si>
  <si>
    <t>efv345</t>
  </si>
  <si>
    <t>Pesquisa online</t>
  </si>
  <si>
    <t>edvkç wfçkm23ç 3wçkl</t>
  </si>
  <si>
    <t>https://drive.google.com/open?id=1hUbd3tnAhRAmEU9bkoI7X_Fc-r_UFJYC</t>
  </si>
  <si>
    <t>https://drive.google.com/open?id=1NOr-z6RTE9-w0_Zl-yNqVx1YerdXTO4Q</t>
  </si>
  <si>
    <t>Rafaela dos Santos Silva</t>
  </si>
  <si>
    <t>rafaelasantos@id.uff.br</t>
  </si>
  <si>
    <t>Feminino</t>
  </si>
  <si>
    <t>Solteiro (a)</t>
  </si>
  <si>
    <t>Parda</t>
  </si>
  <si>
    <t>Volta Redonda</t>
  </si>
  <si>
    <t>Brasil</t>
  </si>
  <si>
    <t>Detran</t>
  </si>
  <si>
    <t>Rua Quinhentos e Quarenta e Oito, 249</t>
  </si>
  <si>
    <t>Jardim Paraíba</t>
  </si>
  <si>
    <t>Celular</t>
  </si>
  <si>
    <t>Vera Lúcia dos Santos</t>
  </si>
  <si>
    <t>Mãe</t>
  </si>
  <si>
    <t>Rio de Janeiro/Brasil</t>
  </si>
  <si>
    <t>Universidade Federal Fluminense</t>
  </si>
  <si>
    <t>Mestrado Em Engenharia Metalúrgica</t>
  </si>
  <si>
    <t>Graduação em Engenharia Metalúrgica</t>
  </si>
  <si>
    <t>Instituto Federal de Educação, Ciência e Tecnologia do Rio de Janeiro</t>
  </si>
  <si>
    <t>Técnica em Automação Industrial</t>
  </si>
  <si>
    <t>Estágio à docência</t>
  </si>
  <si>
    <t>Continuar a trabalhar com pesquisa na área de materiais metálicos e aprender a prática de ensino da engenharia.</t>
  </si>
  <si>
    <t>Aluno PPGEM</t>
  </si>
  <si>
    <t>Análise do comportamento em fluência e de oxidação da superliga MAR-M247 modificada com Nb e produzida por solidificação direcional</t>
  </si>
  <si>
    <t>https://drive.google.com/open?id=13RWTnMFln-Or9zzfvdd5gCUDLWq4PLXD</t>
  </si>
  <si>
    <t>https://drive.google.com/open?id=1h66cbUGy55OyDA-DH5yFT0ZNjRLK4dS9</t>
  </si>
  <si>
    <t>Mestrado em Engenharia Metalúrgica</t>
  </si>
  <si>
    <t>Estágio à Docência</t>
  </si>
  <si>
    <t>Desejo continuar a trabalhar com pesquisa de materiais metálicos e obter o título de doutora para dar início à docência.</t>
  </si>
  <si>
    <t>https://drive.google.com/open?id=1m3i5n421RNg5P5p9oasTq5UygvhJ84Yn</t>
  </si>
  <si>
    <t>https://drive.google.com/open?id=16xe1X-KLk-gWSaWSi0tuT4QGqQZZ6Nvh</t>
  </si>
  <si>
    <t>Luiz T. F. Eleno</t>
  </si>
  <si>
    <t>asdfgwqfwgv</t>
  </si>
  <si>
    <t>eefgvwe</t>
  </si>
  <si>
    <t>2ewvwefgvw</t>
  </si>
  <si>
    <t>jkfgvjkvhjh</t>
  </si>
  <si>
    <t>jhjhg</t>
  </si>
  <si>
    <t>jkvkjgvkjvjkgv</t>
  </si>
  <si>
    <t>j gjkgv jkgg jkgh</t>
  </si>
  <si>
    <t>jghkjgh</t>
  </si>
  <si>
    <t>kjg</t>
  </si>
  <si>
    <t>gvjgjv</t>
  </si>
  <si>
    <t>jvhjgv</t>
  </si>
  <si>
    <t>inglês</t>
  </si>
  <si>
    <t>jlklj</t>
  </si>
  <si>
    <t>lnasdflçjkasv slgjsçkl</t>
  </si>
  <si>
    <t>https://drive.google.com/open?id=1bzozzOUIHD7qP3GaB06IfN2h8s3qPqL0</t>
  </si>
  <si>
    <t>https://drive.google.com/open?id=1pqdPC8jnM1pAL9H2SX-xcK7jPYV80v6j</t>
  </si>
  <si>
    <t>jkbhkljb</t>
  </si>
  <si>
    <t>0897089</t>
  </si>
  <si>
    <t>0897089-0</t>
  </si>
  <si>
    <t>https://drive.google.com/open?id=1CktcMLnlGhvcvjTV62f6O9r6PjuRf6F7</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</si>
</sst>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h:mm:ss"/>
  </numFmts>
  <fonts count="5">
    <font>
      <sz val="10.0"/>
      <color rgb="FF000000"/>
      <name val="Arial"/>
    </font>
    <font>
      <color theme="1"/>
      <name val="Arial"/>
    </font>
    <font/>
    <font>
      <u/>
      <color rgb="FF0000FF"/>
    </font>
    <font>
      <u/>
      <color rgb="FF0000FF"/>
    </font>
  </fonts>
  <fills count="2">
    <fill>
      <patternFill patternType="none"/>
    </fill>
    <fill>
      <patternFill patternType="lightGray"/>
    </fill>
  </fills>
  <borders count="1">
    <border/>
  </borders>
  <cellStyleXfs count="1">
    <xf borderId="0" fillId="0" fontId="0" numFmtId="0" applyAlignment="1" applyFont="1"/>
  </cellStyleXfs>
  <cellXfs count="10">
    <xf borderId="0" fillId="0" fontId="0" numFmtId="0" xfId="0" applyAlignment="1" applyFont="1">
      <alignment readingOrder="0" shrinkToFit="0" vertical="bottom" wrapText="0"/>
    </xf>
    <xf borderId="0" fillId="0" fontId="1" numFmtId="0" xfId="0" applyFont="1"/>
    <xf borderId="0" fillId="0" fontId="1" numFmtId="0" xfId="0" applyAlignment="1" applyFont="1">
      <alignment readingOrder="0"/>
    </xf>
    <xf borderId="0" fillId="0" fontId="2" numFmtId="0" xfId="0" applyAlignment="1" applyFont="1">
      <alignment readingOrder="0"/>
    </xf>
    <xf borderId="0" fillId="0" fontId="1" numFmtId="164" xfId="0" applyAlignment="1" applyFont="1" applyNumberFormat="1">
      <alignment readingOrder="0"/>
    </xf>
    <xf borderId="0" fillId="0" fontId="1" numFmtId="14" xfId="0" applyAlignment="1" applyFont="1" applyNumberFormat="1">
      <alignment readingOrder="0"/>
    </xf>
    <xf quotePrefix="1" borderId="0" fillId="0" fontId="1" numFmtId="0" xfId="0" applyAlignment="1" applyFont="1">
      <alignment readingOrder="0"/>
    </xf>
    <xf borderId="0" fillId="0" fontId="3" numFmtId="0" xfId="0" applyAlignment="1" applyFont="1">
      <alignment readingOrder="0"/>
    </xf>
    <xf borderId="0" fillId="0" fontId="1" numFmtId="0" xfId="0" applyAlignment="1" applyFont="1">
      <alignment readingOrder="0"/>
    </xf>
    <xf borderId="0" fillId="0" fontId="4"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drive.google.com/open?id=1mZrGVRJaPnYpvH6SB5Yhwg1V5JEwU6zK" TargetMode="External"/><Relationship Id="rId2" Type="http://schemas.openxmlformats.org/officeDocument/2006/relationships/hyperlink" Target="https://drive.google.com/open?id=1hUbd3tnAhRAmEU9bkoI7X_Fc-r_UFJYC" TargetMode="External"/><Relationship Id="rId3" Type="http://schemas.openxmlformats.org/officeDocument/2006/relationships/hyperlink" Target="https://drive.google.com/open?id=1NOr-z6RTE9-w0_Zl-yNqVx1YerdXTO4Q" TargetMode="External"/><Relationship Id="rId4" Type="http://schemas.openxmlformats.org/officeDocument/2006/relationships/hyperlink" Target="https://drive.google.com/open?id=13RWTnMFln-Or9zzfvdd5gCUDLWq4PLXD" TargetMode="External"/><Relationship Id="rId11" Type="http://schemas.openxmlformats.org/officeDocument/2006/relationships/drawing" Target="../drawings/drawing1.xml"/><Relationship Id="rId10" Type="http://schemas.openxmlformats.org/officeDocument/2006/relationships/hyperlink" Target="https://drive.google.com/open?id=1CktcMLnlGhvcvjTV62f6O9r6PjuRf6F7" TargetMode="External"/><Relationship Id="rId9" Type="http://schemas.openxmlformats.org/officeDocument/2006/relationships/hyperlink" Target="https://drive.google.com/open?id=1pqdPC8jnM1pAL9H2SX-xcK7jPYV80v6j" TargetMode="External"/><Relationship Id="rId5" Type="http://schemas.openxmlformats.org/officeDocument/2006/relationships/hyperlink" Target="https://drive.google.com/open?id=1h66cbUGy55OyDA-DH5yFT0ZNjRLK4dS9" TargetMode="External"/><Relationship Id="rId6" Type="http://schemas.openxmlformats.org/officeDocument/2006/relationships/hyperlink" Target="https://drive.google.com/open?id=1m3i5n421RNg5P5p9oasTq5UygvhJ84Yn" TargetMode="External"/><Relationship Id="rId7" Type="http://schemas.openxmlformats.org/officeDocument/2006/relationships/hyperlink" Target="https://drive.google.com/open?id=16xe1X-KLk-gWSaWSi0tuT4QGqQZZ6Nvh" TargetMode="External"/><Relationship Id="rId8" Type="http://schemas.openxmlformats.org/officeDocument/2006/relationships/hyperlink" Target="https://drive.google.com/open?id=1bzozzOUIHD7qP3GaB06IfN2h8s3qPqL0"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75"/>
  <cols>
    <col customWidth="1" min="1" max="129" width="21.57"/>
  </cols>
  <sheetData>
    <row r="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c r="AO1" s="1" t="s">
        <v>40</v>
      </c>
      <c r="AP1" s="1" t="s">
        <v>41</v>
      </c>
      <c r="AQ1" s="1" t="s">
        <v>42</v>
      </c>
      <c r="AR1" s="1" t="s">
        <v>38</v>
      </c>
      <c r="AS1" s="1" t="s">
        <v>43</v>
      </c>
      <c r="AT1" s="1" t="s">
        <v>44</v>
      </c>
      <c r="AU1" s="1" t="s">
        <v>45</v>
      </c>
      <c r="AV1" s="1" t="s">
        <v>46</v>
      </c>
      <c r="AW1" s="1" t="s">
        <v>47</v>
      </c>
      <c r="AX1" s="1" t="s">
        <v>48</v>
      </c>
      <c r="AY1" s="1" t="s">
        <v>49</v>
      </c>
      <c r="AZ1" s="1" t="s">
        <v>50</v>
      </c>
      <c r="BA1" s="1" t="s">
        <v>51</v>
      </c>
      <c r="BB1" s="1" t="s">
        <v>52</v>
      </c>
      <c r="BC1" s="1" t="s">
        <v>53</v>
      </c>
      <c r="BD1" s="1" t="s">
        <v>54</v>
      </c>
      <c r="BE1" s="1" t="s">
        <v>55</v>
      </c>
      <c r="BF1" s="1" t="s">
        <v>56</v>
      </c>
      <c r="BG1" s="1" t="s">
        <v>52</v>
      </c>
      <c r="BH1" s="1" t="s">
        <v>57</v>
      </c>
      <c r="BI1" s="1" t="s">
        <v>58</v>
      </c>
      <c r="BJ1" s="1" t="s">
        <v>59</v>
      </c>
      <c r="BK1" s="1" t="s">
        <v>60</v>
      </c>
      <c r="BL1" s="1" t="s">
        <v>52</v>
      </c>
      <c r="BM1" s="1" t="s">
        <v>61</v>
      </c>
      <c r="BN1" s="1" t="s">
        <v>62</v>
      </c>
      <c r="BO1" s="1" t="s">
        <v>63</v>
      </c>
      <c r="BP1" s="1" t="s">
        <v>64</v>
      </c>
      <c r="BQ1" s="1" t="s">
        <v>65</v>
      </c>
      <c r="BR1" s="1" t="s">
        <v>66</v>
      </c>
      <c r="BS1" s="1" t="s">
        <v>67</v>
      </c>
      <c r="BT1" s="1" t="s">
        <v>68</v>
      </c>
      <c r="BU1" s="1" t="s">
        <v>69</v>
      </c>
      <c r="BV1" s="2" t="s">
        <v>70</v>
      </c>
      <c r="BW1" s="1" t="s">
        <v>71</v>
      </c>
      <c r="BX1" s="1" t="s">
        <v>72</v>
      </c>
      <c r="BY1" s="1" t="s">
        <v>73</v>
      </c>
      <c r="BZ1" s="1" t="s">
        <v>74</v>
      </c>
      <c r="CA1" s="1" t="s">
        <v>75</v>
      </c>
      <c r="CB1" s="1" t="s">
        <v>76</v>
      </c>
      <c r="CC1" s="1" t="s">
        <v>77</v>
      </c>
      <c r="CD1" s="1" t="s">
        <v>78</v>
      </c>
      <c r="CE1" s="1" t="s">
        <v>79</v>
      </c>
      <c r="CF1" s="1" t="s">
        <v>80</v>
      </c>
      <c r="CG1" s="1" t="s">
        <v>81</v>
      </c>
      <c r="CH1" s="1" t="s">
        <v>82</v>
      </c>
      <c r="CI1" s="1" t="s">
        <v>83</v>
      </c>
      <c r="CJ1" s="1" t="s">
        <v>84</v>
      </c>
      <c r="CK1" s="1" t="s">
        <v>85</v>
      </c>
      <c r="CL1" s="1" t="s">
        <v>86</v>
      </c>
      <c r="CM1" s="1" t="s">
        <v>87</v>
      </c>
      <c r="CN1" s="1" t="s">
        <v>88</v>
      </c>
      <c r="CO1" s="1" t="s">
        <v>89</v>
      </c>
      <c r="CP1" s="1" t="s">
        <v>90</v>
      </c>
      <c r="CQ1" s="1" t="s">
        <v>91</v>
      </c>
      <c r="CR1" s="1" t="s">
        <v>92</v>
      </c>
      <c r="CS1" s="1" t="s">
        <v>93</v>
      </c>
      <c r="CT1" s="1" t="s">
        <v>94</v>
      </c>
      <c r="CU1" s="1" t="s">
        <v>95</v>
      </c>
      <c r="CV1" s="1" t="s">
        <v>96</v>
      </c>
      <c r="CW1" s="1" t="s">
        <v>97</v>
      </c>
      <c r="CX1" s="1" t="s">
        <v>98</v>
      </c>
      <c r="CY1" s="1" t="s">
        <v>94</v>
      </c>
      <c r="CZ1" s="1" t="s">
        <v>99</v>
      </c>
      <c r="DA1" s="1" t="s">
        <v>100</v>
      </c>
      <c r="DB1" s="1" t="s">
        <v>101</v>
      </c>
      <c r="DC1" s="1" t="s">
        <v>102</v>
      </c>
      <c r="DD1" s="1" t="s">
        <v>94</v>
      </c>
      <c r="DE1" s="1" t="s">
        <v>103</v>
      </c>
      <c r="DF1" s="1" t="s">
        <v>104</v>
      </c>
      <c r="DG1" s="1" t="s">
        <v>105</v>
      </c>
      <c r="DH1" s="1" t="s">
        <v>106</v>
      </c>
      <c r="DI1" s="1" t="s">
        <v>107</v>
      </c>
      <c r="DJ1" s="1" t="s">
        <v>108</v>
      </c>
      <c r="DK1" s="3" t="s">
        <v>109</v>
      </c>
      <c r="DL1" s="1" t="s">
        <v>110</v>
      </c>
      <c r="DM1" s="1" t="s">
        <v>111</v>
      </c>
      <c r="DN1" s="1" t="s">
        <v>112</v>
      </c>
      <c r="DO1" s="1" t="s">
        <v>113</v>
      </c>
      <c r="DP1" s="3" t="s">
        <v>114</v>
      </c>
      <c r="DQ1" s="3" t="s">
        <v>115</v>
      </c>
      <c r="DR1" s="3" t="s">
        <v>116</v>
      </c>
      <c r="DS1" s="3" t="s">
        <v>117</v>
      </c>
      <c r="DT1" s="2" t="s">
        <v>118</v>
      </c>
      <c r="DU1" s="2" t="s">
        <v>119</v>
      </c>
      <c r="DV1" s="2" t="s">
        <v>120</v>
      </c>
    </row>
    <row r="2">
      <c r="A2" s="4">
        <v>44302.574963900464</v>
      </c>
      <c r="B2" s="2" t="s">
        <v>121</v>
      </c>
      <c r="C2" s="2" t="s">
        <v>122</v>
      </c>
      <c r="D2" s="2" t="s">
        <v>123</v>
      </c>
      <c r="E2" s="2" t="s">
        <v>124</v>
      </c>
      <c r="F2" s="2" t="s">
        <v>125</v>
      </c>
      <c r="G2" s="2" t="s">
        <v>126</v>
      </c>
      <c r="H2" s="2">
        <v>0.0</v>
      </c>
      <c r="I2" s="5">
        <v>28034.0</v>
      </c>
      <c r="J2" s="2" t="s">
        <v>127</v>
      </c>
      <c r="K2" s="2" t="s">
        <v>128</v>
      </c>
      <c r="L2" s="2">
        <v>2.3542135423423E13</v>
      </c>
      <c r="M2" s="2">
        <v>2.5425423413341E13</v>
      </c>
      <c r="N2" s="5">
        <v>36892.0</v>
      </c>
      <c r="O2" s="2" t="s">
        <v>129</v>
      </c>
      <c r="P2" s="2">
        <v>1176388.0</v>
      </c>
      <c r="Q2" s="2" t="s">
        <v>130</v>
      </c>
      <c r="R2" s="2" t="s">
        <v>131</v>
      </c>
      <c r="S2" s="2" t="s">
        <v>132</v>
      </c>
      <c r="T2" s="2">
        <v>1.260634E7</v>
      </c>
      <c r="U2" s="2" t="s">
        <v>133</v>
      </c>
      <c r="V2" s="2">
        <v>1.230362333E9</v>
      </c>
      <c r="W2" s="2" t="s">
        <v>134</v>
      </c>
      <c r="X2" s="2" t="s">
        <v>135</v>
      </c>
      <c r="Y2" s="2" t="s">
        <v>136</v>
      </c>
      <c r="Z2" s="2" t="s">
        <v>137</v>
      </c>
      <c r="AA2" s="2" t="s">
        <v>127</v>
      </c>
      <c r="AB2" s="2" t="s">
        <v>128</v>
      </c>
      <c r="AC2" s="6" t="s">
        <v>138</v>
      </c>
      <c r="AD2" s="2">
        <v>1.1023434413E10</v>
      </c>
      <c r="AE2" s="2" t="s">
        <v>139</v>
      </c>
      <c r="AF2" s="2" t="s">
        <v>140</v>
      </c>
      <c r="AG2" s="5">
        <v>41183.0</v>
      </c>
      <c r="AH2" s="5">
        <v>41763.0</v>
      </c>
      <c r="AI2" s="2" t="s">
        <v>125</v>
      </c>
      <c r="AJ2" s="2" t="s">
        <v>141</v>
      </c>
      <c r="AK2" s="2" t="s">
        <v>142</v>
      </c>
      <c r="AL2" s="5">
        <v>40087.0</v>
      </c>
      <c r="AM2" s="5">
        <v>41000.0</v>
      </c>
      <c r="AN2" s="2" t="s">
        <v>125</v>
      </c>
      <c r="AO2" s="2" t="s">
        <v>141</v>
      </c>
      <c r="AP2" s="2" t="s">
        <v>143</v>
      </c>
      <c r="AQ2" s="5">
        <v>36526.0</v>
      </c>
      <c r="AR2" s="5">
        <v>37288.0</v>
      </c>
      <c r="AS2" s="2" t="s">
        <v>144</v>
      </c>
      <c r="AX2" s="2" t="s">
        <v>145</v>
      </c>
      <c r="AY2" s="2" t="s">
        <v>146</v>
      </c>
      <c r="AZ2" s="2" t="s">
        <v>146</v>
      </c>
      <c r="BA2" s="2" t="s">
        <v>146</v>
      </c>
      <c r="BB2" s="2" t="s">
        <v>125</v>
      </c>
      <c r="BC2" s="2" t="s">
        <v>147</v>
      </c>
      <c r="BD2" s="2" t="s">
        <v>146</v>
      </c>
      <c r="BE2" s="2" t="s">
        <v>146</v>
      </c>
      <c r="BF2" s="2" t="s">
        <v>146</v>
      </c>
      <c r="BG2" s="2" t="s">
        <v>125</v>
      </c>
      <c r="BH2" s="2" t="s">
        <v>148</v>
      </c>
      <c r="BI2" s="2" t="s">
        <v>149</v>
      </c>
      <c r="BJ2" s="2" t="s">
        <v>149</v>
      </c>
      <c r="BK2" s="2" t="s">
        <v>149</v>
      </c>
      <c r="BL2" s="2" t="s">
        <v>144</v>
      </c>
      <c r="BQ2" s="2" t="s">
        <v>125</v>
      </c>
      <c r="BR2" s="2" t="s">
        <v>150</v>
      </c>
      <c r="BS2" s="2" t="s">
        <v>151</v>
      </c>
      <c r="BT2" s="2" t="s">
        <v>152</v>
      </c>
      <c r="BU2" s="5">
        <v>41763.0</v>
      </c>
      <c r="BV2" s="5">
        <v>42095.0</v>
      </c>
      <c r="BW2" s="2" t="s">
        <v>144</v>
      </c>
      <c r="CO2" s="2" t="s">
        <v>125</v>
      </c>
      <c r="CP2" s="2" t="s">
        <v>150</v>
      </c>
      <c r="CQ2" s="2" t="s">
        <v>151</v>
      </c>
      <c r="CR2" s="5">
        <v>41763.0</v>
      </c>
      <c r="CS2" s="5">
        <v>44337.0</v>
      </c>
      <c r="CT2" s="2" t="s">
        <v>125</v>
      </c>
      <c r="CU2" s="2" t="s">
        <v>141</v>
      </c>
      <c r="CV2" s="2" t="s">
        <v>153</v>
      </c>
      <c r="CW2" s="5">
        <v>41275.0</v>
      </c>
      <c r="CX2" s="5">
        <v>41456.0</v>
      </c>
      <c r="CY2" s="2" t="s">
        <v>144</v>
      </c>
      <c r="DI2" s="2" t="s">
        <v>125</v>
      </c>
      <c r="DJ2" s="2" t="s">
        <v>125</v>
      </c>
      <c r="DK2" s="2" t="s">
        <v>154</v>
      </c>
      <c r="DL2" s="2" t="s">
        <v>155</v>
      </c>
      <c r="DM2" s="2" t="s">
        <v>156</v>
      </c>
      <c r="DN2" s="2" t="s">
        <v>157</v>
      </c>
      <c r="DO2" s="7" t="s">
        <v>158</v>
      </c>
      <c r="DP2" s="8"/>
      <c r="DQ2" s="8"/>
      <c r="DR2" s="8"/>
      <c r="DS2" s="8"/>
    </row>
    <row r="3">
      <c r="A3" s="4">
        <v>44302.74436298611</v>
      </c>
      <c r="B3" s="2" t="s">
        <v>159</v>
      </c>
      <c r="C3" s="2" t="s">
        <v>122</v>
      </c>
      <c r="D3" s="2" t="s">
        <v>123</v>
      </c>
      <c r="E3" s="2" t="s">
        <v>124</v>
      </c>
      <c r="F3" s="2" t="s">
        <v>144</v>
      </c>
      <c r="G3" s="2" t="s">
        <v>126</v>
      </c>
      <c r="H3" s="2">
        <v>0.0</v>
      </c>
      <c r="I3" s="5">
        <v>28034.0</v>
      </c>
      <c r="J3" s="2" t="s">
        <v>160</v>
      </c>
      <c r="K3" s="2">
        <v>3.458072340857E12</v>
      </c>
      <c r="L3" s="2">
        <v>3.458072340857E12</v>
      </c>
      <c r="M3" s="2">
        <v>3.458072340857E12</v>
      </c>
      <c r="N3" s="5">
        <v>36892.0</v>
      </c>
      <c r="O3" s="2">
        <v>3.458072340857E12</v>
      </c>
      <c r="P3" s="2">
        <v>3.458072340857E12</v>
      </c>
      <c r="Q3" s="2">
        <v>3.458072340857E12</v>
      </c>
      <c r="R3" s="2">
        <v>3.458072340857E12</v>
      </c>
      <c r="S3" s="2">
        <v>3.458072340857E12</v>
      </c>
      <c r="T3" s="2">
        <v>3.458072340857E12</v>
      </c>
      <c r="U3" s="2" t="s">
        <v>133</v>
      </c>
      <c r="V3" s="2">
        <v>3.458072340857E12</v>
      </c>
      <c r="W3" s="2">
        <v>3.458072340857E12</v>
      </c>
      <c r="X3" s="2">
        <v>3.458072340857E12</v>
      </c>
      <c r="Y3" s="2">
        <v>3.458072340857E12</v>
      </c>
      <c r="Z3" s="2">
        <v>3.458072340857E12</v>
      </c>
      <c r="AA3" s="2">
        <v>3.458072340857E12</v>
      </c>
      <c r="AB3" s="2">
        <v>3.458072340857E12</v>
      </c>
      <c r="AC3" s="2">
        <v>3.458072340857E12</v>
      </c>
      <c r="AD3" s="2">
        <v>3.458072340857E12</v>
      </c>
      <c r="AE3" s="2">
        <v>3.458072340857E12</v>
      </c>
      <c r="AF3" s="2">
        <v>3.458072340857E12</v>
      </c>
      <c r="AG3" s="5">
        <v>36892.0</v>
      </c>
      <c r="AH3" s="5" t="s">
        <v>161</v>
      </c>
      <c r="AI3" s="2" t="s">
        <v>125</v>
      </c>
      <c r="AJ3" s="2">
        <v>3.458072340857E12</v>
      </c>
      <c r="AK3" s="2">
        <v>3.458072340857E12</v>
      </c>
      <c r="AL3" s="5">
        <v>36892.0</v>
      </c>
      <c r="AM3" s="5">
        <v>36892.0</v>
      </c>
      <c r="AN3" s="2" t="s">
        <v>125</v>
      </c>
      <c r="AO3" s="2">
        <v>3.458072340857E12</v>
      </c>
      <c r="AP3" s="2">
        <v>3.458072340857E12</v>
      </c>
      <c r="AQ3" s="5">
        <v>36892.0</v>
      </c>
      <c r="AR3" s="5">
        <v>36892.0</v>
      </c>
      <c r="AS3" s="2" t="s">
        <v>125</v>
      </c>
      <c r="AT3" s="2">
        <v>3.458072340857E12</v>
      </c>
      <c r="AU3" s="2">
        <v>3.458072340857E12</v>
      </c>
      <c r="AV3" s="5" t="s">
        <v>161</v>
      </c>
      <c r="AW3" s="5">
        <v>402560.0</v>
      </c>
      <c r="AX3" s="2">
        <v>3.458072340857E12</v>
      </c>
      <c r="AY3" s="2" t="s">
        <v>162</v>
      </c>
      <c r="AZ3" s="2" t="s">
        <v>149</v>
      </c>
      <c r="BA3" s="2" t="s">
        <v>146</v>
      </c>
      <c r="BB3" s="2" t="s">
        <v>125</v>
      </c>
      <c r="BC3" s="2">
        <v>3.458072340857E12</v>
      </c>
      <c r="BD3" s="2" t="s">
        <v>149</v>
      </c>
      <c r="BE3" s="2" t="s">
        <v>146</v>
      </c>
      <c r="BF3" s="2" t="s">
        <v>162</v>
      </c>
      <c r="BG3" s="2" t="s">
        <v>125</v>
      </c>
      <c r="BH3" s="2">
        <v>3.458072340857E12</v>
      </c>
      <c r="BI3" s="2" t="s">
        <v>146</v>
      </c>
      <c r="BJ3" s="2" t="s">
        <v>162</v>
      </c>
      <c r="BK3" s="2" t="s">
        <v>149</v>
      </c>
      <c r="BL3" s="2" t="s">
        <v>125</v>
      </c>
      <c r="BM3" s="2" t="s">
        <v>163</v>
      </c>
      <c r="BN3" s="2" t="s">
        <v>146</v>
      </c>
      <c r="BO3" s="2" t="s">
        <v>149</v>
      </c>
      <c r="BP3" s="2" t="s">
        <v>162</v>
      </c>
      <c r="BQ3" s="2" t="s">
        <v>125</v>
      </c>
      <c r="BR3" s="2" t="s">
        <v>164</v>
      </c>
      <c r="BS3" s="2" t="s">
        <v>165</v>
      </c>
      <c r="BT3" s="2" t="s">
        <v>166</v>
      </c>
      <c r="BU3" s="5">
        <v>36892.0</v>
      </c>
      <c r="BV3" s="5">
        <v>37289.0</v>
      </c>
      <c r="BW3" s="2" t="s">
        <v>125</v>
      </c>
      <c r="BX3" s="2" t="s">
        <v>167</v>
      </c>
      <c r="BY3" s="2" t="s">
        <v>168</v>
      </c>
      <c r="BZ3" s="2" t="s">
        <v>152</v>
      </c>
      <c r="CA3" s="5">
        <v>37682.0</v>
      </c>
      <c r="CB3" s="5">
        <v>38080.0</v>
      </c>
      <c r="CC3" s="2" t="s">
        <v>125</v>
      </c>
      <c r="CD3" s="2" t="s">
        <v>169</v>
      </c>
      <c r="CE3" s="2" t="s">
        <v>170</v>
      </c>
      <c r="CF3" s="2" t="s">
        <v>166</v>
      </c>
      <c r="CG3" s="5">
        <v>41255.0</v>
      </c>
      <c r="CH3" s="5">
        <v>41591.0</v>
      </c>
      <c r="CI3" s="2" t="s">
        <v>125</v>
      </c>
      <c r="CJ3" s="2" t="s">
        <v>171</v>
      </c>
      <c r="CK3" s="2" t="s">
        <v>172</v>
      </c>
      <c r="CL3" s="2" t="s">
        <v>152</v>
      </c>
      <c r="CM3" s="5">
        <v>40065.0</v>
      </c>
      <c r="CN3" s="5">
        <v>44334.0</v>
      </c>
      <c r="CO3" s="2" t="s">
        <v>125</v>
      </c>
      <c r="CP3" s="2" t="s">
        <v>173</v>
      </c>
      <c r="CQ3" s="2" t="s">
        <v>174</v>
      </c>
      <c r="CR3" s="5">
        <v>37987.0</v>
      </c>
      <c r="CT3" s="2" t="s">
        <v>125</v>
      </c>
      <c r="CU3" s="2" t="s">
        <v>175</v>
      </c>
      <c r="CV3" s="2" t="s">
        <v>176</v>
      </c>
      <c r="CW3" s="5">
        <v>45111.0</v>
      </c>
      <c r="CY3" s="2" t="s">
        <v>125</v>
      </c>
      <c r="CZ3" s="2" t="s">
        <v>177</v>
      </c>
      <c r="DA3" s="2" t="s">
        <v>178</v>
      </c>
      <c r="DB3" s="5">
        <v>153862.0</v>
      </c>
      <c r="DC3" s="5">
        <v>4333.0</v>
      </c>
      <c r="DD3" s="2" t="s">
        <v>125</v>
      </c>
      <c r="DE3" s="2" t="s">
        <v>179</v>
      </c>
      <c r="DF3" s="2" t="s">
        <v>180</v>
      </c>
      <c r="DG3" s="5" t="s">
        <v>181</v>
      </c>
      <c r="DI3" s="2" t="s">
        <v>125</v>
      </c>
      <c r="DJ3" s="2" t="s">
        <v>144</v>
      </c>
      <c r="DK3" s="2" t="s">
        <v>182</v>
      </c>
      <c r="DL3" s="2" t="s">
        <v>155</v>
      </c>
      <c r="DM3" s="2" t="s">
        <v>183</v>
      </c>
      <c r="DN3" s="2" t="s">
        <v>184</v>
      </c>
      <c r="DO3" s="7" t="s">
        <v>185</v>
      </c>
      <c r="DP3" s="8"/>
      <c r="DQ3" s="8"/>
      <c r="DR3" s="8"/>
      <c r="DS3" s="8"/>
      <c r="DT3" s="7" t="s">
        <v>186</v>
      </c>
      <c r="DU3" s="9" t="str">
        <f>HYPERLINK("https://drive.google.com/open?id=1NOr-z6RTE9-w0_Zl-yNqVx1YerdXTO4Q","Inscrição PPGEM EEL-USP - Elenão.pdf")</f>
        <v>Inscrição PPGEM EEL-USP - Elenão.pdf</v>
      </c>
      <c r="DV3" s="9" t="str">
        <f>HYPERLINK("https://mail.google.com/mail/u/?authuser=luizeleno@usp.br#all/178dc74aa5270d67","Email sent to luizeleno@gmail.com, ppgem-eel@usp.br")</f>
        <v>Email sent to luizeleno@gmail.com, ppgem-eel@usp.br</v>
      </c>
    </row>
    <row r="4">
      <c r="A4" s="4">
        <v>44334.518068888894</v>
      </c>
      <c r="B4" s="2" t="s">
        <v>187</v>
      </c>
      <c r="C4" s="2" t="s">
        <v>188</v>
      </c>
      <c r="D4" s="2" t="s">
        <v>189</v>
      </c>
      <c r="E4" s="2" t="s">
        <v>190</v>
      </c>
      <c r="F4" s="2" t="s">
        <v>144</v>
      </c>
      <c r="G4" s="2" t="s">
        <v>191</v>
      </c>
      <c r="H4" s="2">
        <v>0.0</v>
      </c>
      <c r="I4" s="5">
        <v>34405.0</v>
      </c>
      <c r="J4" s="2" t="s">
        <v>192</v>
      </c>
      <c r="K4" s="2" t="s">
        <v>193</v>
      </c>
      <c r="L4" s="2">
        <v>1.515864375E10</v>
      </c>
      <c r="M4" s="2">
        <v>2.70229289E8</v>
      </c>
      <c r="N4" s="5">
        <v>41342.0</v>
      </c>
      <c r="O4" s="2" t="s">
        <v>194</v>
      </c>
      <c r="Q4" s="2" t="s">
        <v>195</v>
      </c>
      <c r="R4" s="2" t="s">
        <v>196</v>
      </c>
      <c r="S4" s="2" t="s">
        <v>192</v>
      </c>
      <c r="T4" s="2">
        <v>2.721517E7</v>
      </c>
      <c r="U4" s="2" t="s">
        <v>197</v>
      </c>
      <c r="V4" s="2">
        <v>2.4998766749E10</v>
      </c>
      <c r="W4" s="2" t="s">
        <v>198</v>
      </c>
      <c r="X4" s="2" t="s">
        <v>199</v>
      </c>
      <c r="Y4" s="2" t="s">
        <v>195</v>
      </c>
      <c r="Z4" s="2" t="s">
        <v>196</v>
      </c>
      <c r="AA4" s="2" t="s">
        <v>192</v>
      </c>
      <c r="AB4" s="2" t="s">
        <v>200</v>
      </c>
      <c r="AC4" s="2">
        <v>2.721517E7</v>
      </c>
      <c r="AD4" s="2">
        <v>2.4998448202E10</v>
      </c>
      <c r="AE4" s="2" t="s">
        <v>201</v>
      </c>
      <c r="AF4" s="2" t="s">
        <v>202</v>
      </c>
      <c r="AG4" s="5">
        <v>43177.0</v>
      </c>
      <c r="AH4" s="5">
        <v>43965.0</v>
      </c>
      <c r="AI4" s="2" t="s">
        <v>125</v>
      </c>
      <c r="AJ4" s="2" t="s">
        <v>201</v>
      </c>
      <c r="AK4" s="2" t="s">
        <v>203</v>
      </c>
      <c r="AL4" s="5">
        <v>41351.0</v>
      </c>
      <c r="AM4" s="5">
        <v>43091.0</v>
      </c>
      <c r="AN4" s="2" t="s">
        <v>125</v>
      </c>
      <c r="AO4" s="2" t="s">
        <v>204</v>
      </c>
      <c r="AP4" s="2" t="s">
        <v>205</v>
      </c>
      <c r="AQ4" s="5">
        <v>39874.0</v>
      </c>
      <c r="AR4" s="5">
        <v>41527.0</v>
      </c>
      <c r="AS4" s="2" t="s">
        <v>144</v>
      </c>
      <c r="AX4" s="2" t="s">
        <v>145</v>
      </c>
      <c r="AY4" s="2" t="s">
        <v>146</v>
      </c>
      <c r="AZ4" s="2" t="s">
        <v>146</v>
      </c>
      <c r="BA4" s="2" t="s">
        <v>146</v>
      </c>
      <c r="BB4" s="2" t="s">
        <v>125</v>
      </c>
      <c r="BC4" s="2" t="s">
        <v>147</v>
      </c>
      <c r="BD4" s="2" t="s">
        <v>149</v>
      </c>
      <c r="BE4" s="2" t="s">
        <v>162</v>
      </c>
      <c r="BF4" s="2" t="s">
        <v>162</v>
      </c>
      <c r="BG4" s="2" t="s">
        <v>144</v>
      </c>
      <c r="BQ4" s="2" t="s">
        <v>144</v>
      </c>
      <c r="CO4" s="2" t="s">
        <v>125</v>
      </c>
      <c r="CP4" s="2" t="s">
        <v>201</v>
      </c>
      <c r="CQ4" s="2" t="s">
        <v>206</v>
      </c>
      <c r="CR4" s="5">
        <v>43598.0</v>
      </c>
      <c r="CS4" s="5">
        <v>43626.0</v>
      </c>
      <c r="CT4" s="2" t="s">
        <v>144</v>
      </c>
      <c r="DI4" s="2" t="s">
        <v>144</v>
      </c>
      <c r="DJ4" s="2" t="s">
        <v>125</v>
      </c>
      <c r="DK4" s="2" t="s">
        <v>201</v>
      </c>
      <c r="DL4" s="2" t="s">
        <v>207</v>
      </c>
      <c r="DM4" s="2" t="s">
        <v>208</v>
      </c>
      <c r="DN4" s="2" t="s">
        <v>209</v>
      </c>
      <c r="DO4" s="7" t="s">
        <v>210</v>
      </c>
      <c r="DP4" s="8"/>
      <c r="DQ4" s="8"/>
      <c r="DR4" s="8"/>
      <c r="DS4" s="8"/>
      <c r="DT4" s="7" t="s">
        <v>211</v>
      </c>
      <c r="DU4" s="9" t="str">
        <f>HYPERLINK("https://drive.google.com/open?id=1h66cbUGy55OyDA-DH5yFT0ZNjRLK4dS9","Inscrição PPGEM EEL-USP - Rafaela dos Santos Silva.pdf")</f>
        <v>Inscrição PPGEM EEL-USP - Rafaela dos Santos Silva.pdf</v>
      </c>
      <c r="DV4" s="9" t="str">
        <f>HYPERLINK("https://mail.google.com/mail/u/?authuser=luizeleno@usp.br#all/1798015fc46d86da","Email sent to rafaelasantos@id.uff.br, ppgem-eel@usp.br")</f>
        <v>Email sent to rafaelasantos@id.uff.br, ppgem-eel@usp.br</v>
      </c>
    </row>
    <row r="5">
      <c r="A5" s="4">
        <v>44334.58987285879</v>
      </c>
      <c r="B5" s="2" t="s">
        <v>187</v>
      </c>
      <c r="C5" s="2" t="s">
        <v>188</v>
      </c>
      <c r="D5" s="2" t="s">
        <v>189</v>
      </c>
      <c r="E5" s="2" t="s">
        <v>190</v>
      </c>
      <c r="F5" s="2" t="s">
        <v>144</v>
      </c>
      <c r="G5" s="2" t="s">
        <v>191</v>
      </c>
      <c r="H5" s="2">
        <v>0.0</v>
      </c>
      <c r="I5" s="5">
        <v>34405.0</v>
      </c>
      <c r="J5" s="2" t="s">
        <v>192</v>
      </c>
      <c r="K5" s="2" t="s">
        <v>200</v>
      </c>
      <c r="L5" s="2">
        <v>1.515864375E10</v>
      </c>
      <c r="M5" s="2">
        <v>2.70229289E8</v>
      </c>
      <c r="N5" s="5">
        <v>41342.0</v>
      </c>
      <c r="O5" s="2" t="s">
        <v>194</v>
      </c>
      <c r="Q5" s="2" t="s">
        <v>195</v>
      </c>
      <c r="R5" s="2" t="s">
        <v>196</v>
      </c>
      <c r="S5" s="2" t="s">
        <v>192</v>
      </c>
      <c r="T5" s="2">
        <v>2.721517E7</v>
      </c>
      <c r="U5" s="2" t="s">
        <v>197</v>
      </c>
      <c r="V5" s="2">
        <v>2.4998766749E10</v>
      </c>
      <c r="W5" s="2" t="s">
        <v>198</v>
      </c>
      <c r="X5" s="2" t="s">
        <v>199</v>
      </c>
      <c r="Y5" s="2" t="s">
        <v>195</v>
      </c>
      <c r="Z5" s="2" t="s">
        <v>196</v>
      </c>
      <c r="AA5" s="2" t="s">
        <v>192</v>
      </c>
      <c r="AB5" s="2" t="s">
        <v>200</v>
      </c>
      <c r="AC5" s="2">
        <v>2.721517E7</v>
      </c>
      <c r="AD5" s="2">
        <v>2.4998448202E10</v>
      </c>
      <c r="AE5" s="2" t="s">
        <v>201</v>
      </c>
      <c r="AF5" s="2" t="s">
        <v>212</v>
      </c>
      <c r="AG5" s="5">
        <v>43177.0</v>
      </c>
      <c r="AH5" s="5">
        <v>43965.0</v>
      </c>
      <c r="AI5" s="2" t="s">
        <v>125</v>
      </c>
      <c r="AJ5" s="2" t="s">
        <v>201</v>
      </c>
      <c r="AK5" s="2" t="s">
        <v>203</v>
      </c>
      <c r="AL5" s="5">
        <v>41351.0</v>
      </c>
      <c r="AM5" s="5">
        <v>43091.0</v>
      </c>
      <c r="AN5" s="2" t="s">
        <v>144</v>
      </c>
      <c r="AX5" s="2" t="s">
        <v>145</v>
      </c>
      <c r="AY5" s="2" t="s">
        <v>146</v>
      </c>
      <c r="AZ5" s="2" t="s">
        <v>146</v>
      </c>
      <c r="BA5" s="2" t="s">
        <v>146</v>
      </c>
      <c r="BB5" s="2" t="s">
        <v>125</v>
      </c>
      <c r="BC5" s="2" t="s">
        <v>147</v>
      </c>
      <c r="BD5" s="2" t="s">
        <v>149</v>
      </c>
      <c r="BE5" s="2" t="s">
        <v>162</v>
      </c>
      <c r="BF5" s="2" t="s">
        <v>162</v>
      </c>
      <c r="BG5" s="2" t="s">
        <v>144</v>
      </c>
      <c r="BQ5" s="2" t="s">
        <v>144</v>
      </c>
      <c r="CO5" s="2" t="s">
        <v>125</v>
      </c>
      <c r="CP5" s="2" t="s">
        <v>201</v>
      </c>
      <c r="CQ5" s="2" t="s">
        <v>213</v>
      </c>
      <c r="CR5" s="5">
        <v>43598.0</v>
      </c>
      <c r="CS5" s="5">
        <v>43626.0</v>
      </c>
      <c r="CT5" s="2" t="s">
        <v>144</v>
      </c>
      <c r="DI5" s="2" t="s">
        <v>144</v>
      </c>
      <c r="DJ5" s="2" t="s">
        <v>125</v>
      </c>
      <c r="DK5" s="2" t="s">
        <v>201</v>
      </c>
      <c r="DL5" s="2" t="s">
        <v>214</v>
      </c>
      <c r="DM5" s="2" t="s">
        <v>208</v>
      </c>
      <c r="DN5" s="2" t="s">
        <v>209</v>
      </c>
      <c r="DO5" s="7" t="s">
        <v>215</v>
      </c>
      <c r="DP5" s="8"/>
      <c r="DQ5" s="8"/>
      <c r="DR5" s="8"/>
      <c r="DS5" s="8"/>
      <c r="DT5" s="7" t="s">
        <v>216</v>
      </c>
      <c r="DU5" s="9" t="str">
        <f>HYPERLINK("https://drive.google.com/open?id=16xe1X-KLk-gWSaWSi0tuT4QGqQZZ6Nvh","Inscrição PPGEM EEL-USP - Rafaela dos Santos Silva.pdf")</f>
        <v>Inscrição PPGEM EEL-USP - Rafaela dos Santos Silva.pdf</v>
      </c>
      <c r="DV5" s="9" t="str">
        <f>HYPERLINK("https://mail.google.com/mail/u/?authuser=luizeleno@usp.br#all/1798074b83a4bfeb","Email sent to rafaelasantos@id.uff.br, ppgem-eel@usp.br")</f>
        <v>Email sent to rafaelasantos@id.uff.br, ppgem-eel@usp.br</v>
      </c>
    </row>
    <row r="6">
      <c r="A6" s="4">
        <v>44334.643705254624</v>
      </c>
      <c r="B6" s="2" t="s">
        <v>217</v>
      </c>
      <c r="C6" s="2" t="s">
        <v>122</v>
      </c>
      <c r="D6" s="2" t="s">
        <v>123</v>
      </c>
      <c r="E6" s="2" t="s">
        <v>124</v>
      </c>
      <c r="F6" s="2" t="s">
        <v>144</v>
      </c>
      <c r="G6" s="2" t="s">
        <v>126</v>
      </c>
      <c r="H6" s="2">
        <v>0.0</v>
      </c>
      <c r="I6" s="5">
        <v>28034.0</v>
      </c>
      <c r="J6" s="2" t="s">
        <v>127</v>
      </c>
      <c r="K6" s="2" t="s">
        <v>128</v>
      </c>
      <c r="L6" s="2">
        <v>2.34564652E8</v>
      </c>
      <c r="M6" s="2">
        <v>2.4678697E7</v>
      </c>
      <c r="N6" s="5">
        <v>36892.0</v>
      </c>
      <c r="O6" s="2" t="s">
        <v>129</v>
      </c>
      <c r="P6" s="2">
        <v>436732.0</v>
      </c>
      <c r="Q6" s="2" t="s">
        <v>218</v>
      </c>
      <c r="R6" s="2" t="s">
        <v>219</v>
      </c>
      <c r="S6" s="2" t="s">
        <v>220</v>
      </c>
      <c r="T6" s="2">
        <v>2.5234423E7</v>
      </c>
      <c r="U6" s="2" t="s">
        <v>197</v>
      </c>
      <c r="V6" s="2">
        <v>7.8657906897E10</v>
      </c>
      <c r="W6" s="2" t="s">
        <v>221</v>
      </c>
      <c r="X6" s="2" t="s">
        <v>222</v>
      </c>
      <c r="Y6" s="2" t="s">
        <v>223</v>
      </c>
      <c r="Z6" s="2" t="s">
        <v>224</v>
      </c>
      <c r="AA6" s="2" t="s">
        <v>225</v>
      </c>
      <c r="AB6" s="2" t="s">
        <v>226</v>
      </c>
      <c r="AC6" s="2">
        <v>6.7976987E7</v>
      </c>
      <c r="AD6" s="2">
        <v>96976.0</v>
      </c>
      <c r="AE6" s="2" t="s">
        <v>227</v>
      </c>
      <c r="AF6" s="2" t="s">
        <v>228</v>
      </c>
      <c r="AG6" s="5">
        <v>36892.0</v>
      </c>
      <c r="AH6" s="5">
        <v>37289.0</v>
      </c>
      <c r="AI6" s="2" t="s">
        <v>144</v>
      </c>
      <c r="AX6" s="2" t="s">
        <v>229</v>
      </c>
      <c r="AY6" s="2" t="s">
        <v>162</v>
      </c>
      <c r="AZ6" s="2" t="s">
        <v>149</v>
      </c>
      <c r="BA6" s="2" t="s">
        <v>146</v>
      </c>
      <c r="BB6" s="2" t="s">
        <v>144</v>
      </c>
      <c r="BQ6" s="2" t="s">
        <v>144</v>
      </c>
      <c r="CO6" s="2" t="s">
        <v>144</v>
      </c>
      <c r="DI6" s="2" t="s">
        <v>144</v>
      </c>
      <c r="DJ6" s="2" t="s">
        <v>125</v>
      </c>
      <c r="DL6" s="2" t="s">
        <v>230</v>
      </c>
      <c r="DM6" s="2" t="s">
        <v>208</v>
      </c>
      <c r="DN6" s="2" t="s">
        <v>231</v>
      </c>
      <c r="DO6" s="7" t="s">
        <v>232</v>
      </c>
      <c r="DP6" s="7" t="s">
        <v>233</v>
      </c>
      <c r="DQ6" s="2" t="s">
        <v>234</v>
      </c>
      <c r="DR6" s="6" t="s">
        <v>235</v>
      </c>
      <c r="DS6" s="2" t="s">
        <v>236</v>
      </c>
      <c r="DT6" s="7" t="s">
        <v>237</v>
      </c>
      <c r="DU6" s="9" t="str">
        <f>HYPERLINK("https://drive.google.com/open?id=1CktcMLnlGhvcvjTV62f6O9r6PjuRf6F7","Inscrição DOUTORADO PPGEM EEL-USP - Luiz T. F. Eleno.pdf")</f>
        <v>Inscrição DOUTORADO PPGEM EEL-USP - Luiz T. F. Eleno.pdf</v>
      </c>
      <c r="DV6" s="9" t="str">
        <f>HYPERLINK("https://mail.google.com/mail/u/?authuser=luizeleno@usp.br#all/17980bb7840d91a2","Email sent to luizeleno@gmail.com, ppgem-eel@usp.br")</f>
        <v>Email sent to luizeleno@gmail.com, ppgem-eel@usp.br</v>
      </c>
    </row>
  </sheetData>
  <hyperlinks>
    <hyperlink r:id="rId1" ref="DO2"/>
    <hyperlink r:id="rId2" ref="DO3"/>
    <hyperlink r:id="rId3" ref="DT3"/>
    <hyperlink r:id="rId4" ref="DO4"/>
    <hyperlink r:id="rId5" ref="DT4"/>
    <hyperlink r:id="rId6" ref="DO5"/>
    <hyperlink r:id="rId7" ref="DT5"/>
    <hyperlink r:id="rId8" ref="DO6"/>
    <hyperlink r:id="rId9" ref="DP6"/>
    <hyperlink r:id="rId10" ref="DT6"/>
  </hyperlinks>
  <drawing r:id="rId11"/>
</worksheet>
</file>